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" sheetId="1" r:id="rId4"/>
    <sheet state="visible" name="Tank" sheetId="2" r:id="rId5"/>
  </sheets>
  <definedNames/>
  <calcPr/>
  <extLst>
    <ext uri="GoogleSheetsCustomDataVersion2">
      <go:sheetsCustomData xmlns:go="http://customooxmlschemas.google.com/" r:id="rId6" roundtripDataChecksum="6gXio3XJtNlw4Q0U4kKG/yTUbV4wXVrniUPtCK3ulXY="/>
    </ext>
  </extLst>
</workbook>
</file>

<file path=xl/sharedStrings.xml><?xml version="1.0" encoding="utf-8"?>
<sst xmlns="http://schemas.openxmlformats.org/spreadsheetml/2006/main" count="175" uniqueCount="85">
  <si>
    <t>Practice: The Wrond side-Exit</t>
  </si>
  <si>
    <t>Type</t>
  </si>
  <si>
    <t>Comments</t>
  </si>
  <si>
    <t>Minutes</t>
  </si>
  <si>
    <t>Warm up</t>
  </si>
  <si>
    <t>"type": 0</t>
  </si>
  <si>
    <t>min</t>
  </si>
  <si>
    <t>G0-Warm Up</t>
  </si>
  <si>
    <t>Focus</t>
  </si>
  <si>
    <t>"type": 1</t>
  </si>
  <si>
    <t>Drills</t>
  </si>
  <si>
    <t>Catch, 1-2 Pull (Stop at the back), Reach</t>
  </si>
  <si>
    <t>"type": 2</t>
  </si>
  <si>
    <t>Get Ready</t>
  </si>
  <si>
    <t>Catch, 1-2 Pull (Stop at the Reach)</t>
  </si>
  <si>
    <t>Cycle 1</t>
  </si>
  <si>
    <t>sets</t>
  </si>
  <si>
    <t>4'@G5-2k/3'R +2'@G6-1K/ 2'R</t>
  </si>
  <si>
    <t>G5-2K Set x/y</t>
  </si>
  <si>
    <t>-Finish your stroke (Shoulder, Wrist break, start outside knee forward+Hip opened)</t>
  </si>
  <si>
    <t>Rest</t>
  </si>
  <si>
    <t>G6-1K Set x/y</t>
  </si>
  <si>
    <t xml:space="preserve">-Outside elbow opens up, botom wrist pull blade fast away+ top hand guides blade up and arround face </t>
  </si>
  <si>
    <t>- Fast through the exit, settle into recovery</t>
  </si>
  <si>
    <t>Cycle 2</t>
  </si>
  <si>
    <t xml:space="preserve"> 200m Race</t>
  </si>
  <si>
    <t>1' @ G8-200m</t>
  </si>
  <si>
    <t>rest</t>
  </si>
  <si>
    <t>G8</t>
  </si>
  <si>
    <t>W3</t>
  </si>
  <si>
    <t>200m Race</t>
  </si>
  <si>
    <t>G5-G4-G5</t>
  </si>
  <si>
    <t>Cooldown</t>
  </si>
  <si>
    <t>Sectionals</t>
  </si>
  <si>
    <t>G0</t>
  </si>
  <si>
    <t xml:space="preserve">5' Warm Up/ 8'R-Drill 1'R+ 4x (4'@G5-2k/3'R +2'@G6-1K/ 2'R) + 3'R/1'@G8-200m </t>
  </si>
  <si>
    <t>Practice: FullB-9minTran</t>
  </si>
  <si>
    <t>4'Rest</t>
  </si>
  <si>
    <t>W1</t>
  </si>
  <si>
    <t>G# -Set x - Y</t>
  </si>
  <si>
    <t>Secs</t>
  </si>
  <si>
    <t>G1 -Set x - 5</t>
  </si>
  <si>
    <t>G4 -Set x - 5</t>
  </si>
  <si>
    <t>Tran2G0 -Set x - 5</t>
  </si>
  <si>
    <t>W2</t>
  </si>
  <si>
    <t>Sets</t>
  </si>
  <si>
    <t>G#-Set X-Y</t>
  </si>
  <si>
    <t>9.5'Start/3sTranG0</t>
  </si>
  <si>
    <t>4.5'Rest</t>
  </si>
  <si>
    <t>Focus AeT - Aerobic Threshold</t>
  </si>
  <si>
    <t xml:space="preserve">Long pieces/low intencity - technical focus </t>
  </si>
  <si>
    <t>Sets/Reps</t>
  </si>
  <si>
    <t>Time On</t>
  </si>
  <si>
    <t>Gear</t>
  </si>
  <si>
    <t>Tank Speed</t>
  </si>
  <si>
    <t>Time</t>
  </si>
  <si>
    <t>2 minutes</t>
  </si>
  <si>
    <t>Explain practice plan</t>
  </si>
  <si>
    <t>Off</t>
  </si>
  <si>
    <t>Drill</t>
  </si>
  <si>
    <t>5 minutes</t>
  </si>
  <si>
    <t>UP, Reach, Catch, Pull,</t>
  </si>
  <si>
    <t>4 minutes</t>
  </si>
  <si>
    <t>G1 2km Race Pace</t>
  </si>
  <si>
    <t>10 - 10.9</t>
  </si>
  <si>
    <t>Leading leg</t>
  </si>
  <si>
    <t>Catch</t>
  </si>
  <si>
    <t>3 minutes</t>
  </si>
  <si>
    <t>90 seconds</t>
  </si>
  <si>
    <t>Straight arms</t>
  </si>
  <si>
    <t>Stretch - water</t>
  </si>
  <si>
    <t>11 - 11.9</t>
  </si>
  <si>
    <t>G2 1km Race Pace</t>
  </si>
  <si>
    <t>1 minute</t>
  </si>
  <si>
    <t>Hip thrust</t>
  </si>
  <si>
    <t>Break wrist and elbow out</t>
  </si>
  <si>
    <t>12 - 12.9</t>
  </si>
  <si>
    <t>G3 500m Race Pace</t>
  </si>
  <si>
    <t xml:space="preserve">Transition form fast to slow </t>
  </si>
  <si>
    <t>Consistency team work</t>
  </si>
  <si>
    <t xml:space="preserve">Breathing </t>
  </si>
  <si>
    <t>1 minutes</t>
  </si>
  <si>
    <t>G -1 Cooldown</t>
  </si>
  <si>
    <t>G4 200m Race</t>
  </si>
  <si>
    <t xml:space="preserve">2x 4’on2’off G1
2x 3’on 90”off G1
2x 2’on1’ off g2
2x 1’ on 3’off g3
------------  31 min
2x 2’on1’ off g2
1x 4’on2’off G1
1x 1’ 200m Race
+13min----- 44 min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</si>
</sst>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"/>
  </numFmts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color theme="1"/>
      <name val="Calibri"/>
    </font>
    <font>
      <sz val="14.0"/>
      <color theme="1"/>
      <name val="Calibri"/>
    </font>
    <font>
      <b/>
      <sz val="14.0"/>
      <color rgb="FF000000"/>
      <name val="Arial"/>
    </font>
    <font>
      <b/>
      <sz val="11.0"/>
      <color rgb="FF000000"/>
      <name val="Arial"/>
    </font>
    <font>
      <sz val="14.0"/>
      <color rgb="FF000000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</fills>
  <borders count="14">
    <border/>
    <border>
      <bottom style="thin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1" fillId="0" fontId="1" numFmtId="0" xfId="0" applyBorder="1" applyFont="1"/>
    <xf borderId="2" fillId="2" fontId="2" numFmtId="0" xfId="0" applyBorder="1" applyFill="1" applyFont="1"/>
    <xf borderId="0" fillId="0" fontId="1" numFmtId="164" xfId="0" applyFont="1" applyNumberFormat="1"/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2" fillId="2" fontId="2" numFmtId="165" xfId="0" applyBorder="1" applyFont="1" applyNumberFormat="1"/>
    <xf borderId="3" fillId="2" fontId="2" numFmtId="0" xfId="0" applyBorder="1" applyFont="1"/>
    <xf borderId="4" fillId="3" fontId="2" numFmtId="165" xfId="0" applyBorder="1" applyFill="1" applyFont="1" applyNumberFormat="1"/>
    <xf borderId="0" fillId="0" fontId="4" numFmtId="0" xfId="0" applyAlignment="1" applyFont="1">
      <alignment readingOrder="0"/>
    </xf>
    <xf borderId="0" fillId="0" fontId="1" numFmtId="165" xfId="0" applyFont="1" applyNumberFormat="1"/>
    <xf borderId="4" fillId="3" fontId="2" numFmtId="0" xfId="0" applyBorder="1" applyFont="1"/>
    <xf borderId="0" fillId="0" fontId="4" numFmtId="0" xfId="0" applyFont="1"/>
    <xf borderId="0" fillId="0" fontId="5" numFmtId="0" xfId="0" applyFont="1"/>
    <xf borderId="4" fillId="0" fontId="6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wrapText="1"/>
    </xf>
    <xf borderId="7" fillId="0" fontId="8" numFmtId="0" xfId="0" applyAlignment="1" applyBorder="1" applyFont="1">
      <alignment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9" fillId="0" fontId="9" numFmtId="0" xfId="0" applyBorder="1" applyFont="1"/>
    <xf borderId="10" fillId="0" fontId="9" numFmtId="0" xfId="0" applyBorder="1" applyFont="1"/>
    <xf borderId="8" fillId="0" fontId="8" numFmtId="0" xfId="0" applyAlignment="1" applyBorder="1" applyFont="1">
      <alignment horizontal="center" vertical="center"/>
    </xf>
    <xf borderId="11" fillId="0" fontId="8" numFmtId="0" xfId="0" applyAlignment="1" applyBorder="1" applyFont="1">
      <alignment shrinkToFit="0" vertical="center" wrapText="1"/>
    </xf>
    <xf borderId="8" fillId="0" fontId="5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right" vertical="center"/>
    </xf>
    <xf borderId="13" fillId="0" fontId="5" numFmtId="0" xfId="0" applyAlignment="1" applyBorder="1" applyFont="1">
      <alignment horizontal="center"/>
    </xf>
    <xf borderId="12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57"/>
    <col customWidth="1" min="2" max="2" width="8.71"/>
    <col customWidth="1" min="3" max="3" width="12.57"/>
    <col customWidth="1" min="4" max="4" width="20.86"/>
    <col customWidth="1" min="5" max="5" width="8.71"/>
    <col customWidth="1" min="6" max="6" width="4.57"/>
    <col customWidth="1" min="7" max="7" width="53.57"/>
    <col customWidth="1" min="8" max="8" width="8.71"/>
    <col customWidth="1" min="9" max="9" width="7.0"/>
    <col customWidth="1" min="10" max="26" width="8.71"/>
  </cols>
  <sheetData>
    <row r="1" ht="14.25" customHeight="1"/>
    <row r="2" ht="14.25" customHeight="1">
      <c r="A2" s="1" t="s">
        <v>0</v>
      </c>
    </row>
    <row r="3" ht="14.25" customHeight="1">
      <c r="A3" s="2" t="s">
        <v>1</v>
      </c>
      <c r="D3" s="2" t="s">
        <v>2</v>
      </c>
      <c r="E3" s="2" t="s">
        <v>3</v>
      </c>
    </row>
    <row r="4" ht="14.25" customHeight="1">
      <c r="A4" s="3" t="s">
        <v>4</v>
      </c>
      <c r="B4" s="2">
        <v>1.0</v>
      </c>
    </row>
    <row r="5" ht="14.25" customHeight="1">
      <c r="A5" s="2" t="s">
        <v>5</v>
      </c>
      <c r="B5" s="2">
        <v>5.0</v>
      </c>
      <c r="C5" s="2" t="s">
        <v>6</v>
      </c>
      <c r="D5" s="2" t="s">
        <v>7</v>
      </c>
      <c r="E5" s="2">
        <f>B5</f>
        <v>5</v>
      </c>
      <c r="G5" s="3" t="s">
        <v>8</v>
      </c>
    </row>
    <row r="6" ht="14.25" customHeight="1">
      <c r="A6" s="2" t="s">
        <v>9</v>
      </c>
      <c r="B6" s="2">
        <v>8.0</v>
      </c>
      <c r="C6" s="2" t="s">
        <v>6</v>
      </c>
      <c r="D6" s="2" t="s">
        <v>10</v>
      </c>
      <c r="E6" s="2">
        <f t="shared" ref="E6:E7" si="1">+B6</f>
        <v>8</v>
      </c>
      <c r="G6" s="4" t="s">
        <v>11</v>
      </c>
      <c r="H6" s="2"/>
      <c r="I6" s="2"/>
    </row>
    <row r="7" ht="14.25" customHeight="1">
      <c r="A7" s="5" t="s">
        <v>12</v>
      </c>
      <c r="B7" s="5">
        <v>1.0</v>
      </c>
      <c r="C7" s="5" t="s">
        <v>6</v>
      </c>
      <c r="D7" s="5" t="s">
        <v>13</v>
      </c>
      <c r="E7" s="5">
        <f t="shared" si="1"/>
        <v>1</v>
      </c>
      <c r="G7" s="4" t="s">
        <v>14</v>
      </c>
      <c r="H7" s="2"/>
      <c r="I7" s="2"/>
    </row>
    <row r="8" ht="14.25" customHeight="1">
      <c r="E8" s="6">
        <f>+E6+E5+E7</f>
        <v>14</v>
      </c>
      <c r="H8" s="2"/>
      <c r="I8" s="7"/>
    </row>
    <row r="9" ht="14.25" customHeight="1"/>
    <row r="10" ht="14.25" customHeight="1">
      <c r="A10" s="3" t="s">
        <v>15</v>
      </c>
      <c r="B10" s="2">
        <v>4.0</v>
      </c>
      <c r="C10" s="2" t="s">
        <v>16</v>
      </c>
      <c r="D10" s="2" t="s">
        <v>17</v>
      </c>
      <c r="G10" s="3" t="s">
        <v>8</v>
      </c>
    </row>
    <row r="11" ht="14.25" customHeight="1">
      <c r="A11" s="2" t="s">
        <v>9</v>
      </c>
      <c r="B11" s="2">
        <v>4.0</v>
      </c>
      <c r="C11" s="2" t="s">
        <v>6</v>
      </c>
      <c r="D11" s="2" t="s">
        <v>18</v>
      </c>
      <c r="E11" s="2">
        <f t="shared" ref="E11:E14" si="2">+B11*$B$10</f>
        <v>16</v>
      </c>
      <c r="G11" s="8" t="s">
        <v>19</v>
      </c>
    </row>
    <row r="12" ht="14.25" customHeight="1">
      <c r="A12" s="2" t="s">
        <v>12</v>
      </c>
      <c r="B12" s="2">
        <v>3.0</v>
      </c>
      <c r="C12" s="2" t="s">
        <v>6</v>
      </c>
      <c r="D12" s="2" t="s">
        <v>20</v>
      </c>
      <c r="E12" s="2">
        <f t="shared" si="2"/>
        <v>12</v>
      </c>
    </row>
    <row r="13" ht="14.25" customHeight="1">
      <c r="A13" s="2" t="s">
        <v>9</v>
      </c>
      <c r="B13" s="2">
        <v>2.0</v>
      </c>
      <c r="C13" s="2" t="s">
        <v>6</v>
      </c>
      <c r="D13" s="2" t="s">
        <v>21</v>
      </c>
      <c r="E13" s="2">
        <f t="shared" si="2"/>
        <v>8</v>
      </c>
      <c r="G13" s="8" t="s">
        <v>22</v>
      </c>
    </row>
    <row r="14" ht="14.25" customHeight="1">
      <c r="A14" s="5" t="s">
        <v>12</v>
      </c>
      <c r="B14" s="5">
        <v>2.0</v>
      </c>
      <c r="C14" s="5" t="s">
        <v>6</v>
      </c>
      <c r="D14" s="5" t="s">
        <v>20</v>
      </c>
      <c r="E14" s="5">
        <f t="shared" si="2"/>
        <v>8</v>
      </c>
      <c r="H14" s="9"/>
    </row>
    <row r="15" ht="14.25" customHeight="1">
      <c r="E15" s="10">
        <f>+SUM(E11:E14)</f>
        <v>44</v>
      </c>
      <c r="G15" s="8" t="s">
        <v>23</v>
      </c>
    </row>
    <row r="16" ht="14.25" customHeight="1"/>
    <row r="17" ht="14.25" customHeight="1">
      <c r="A17" s="3" t="s">
        <v>24</v>
      </c>
      <c r="B17" s="2">
        <v>1.0</v>
      </c>
      <c r="C17" s="2" t="s">
        <v>25</v>
      </c>
      <c r="D17" s="2" t="s">
        <v>26</v>
      </c>
    </row>
    <row r="18" ht="14.25" customHeight="1">
      <c r="A18" s="2" t="s">
        <v>12</v>
      </c>
      <c r="B18" s="1">
        <v>1.0</v>
      </c>
      <c r="C18" s="2" t="s">
        <v>6</v>
      </c>
      <c r="D18" s="2" t="s">
        <v>27</v>
      </c>
      <c r="E18" s="2">
        <f t="shared" ref="E18:E19" si="3">+B18*$B$17</f>
        <v>1</v>
      </c>
    </row>
    <row r="19" ht="14.25" customHeight="1">
      <c r="A19" s="5" t="s">
        <v>9</v>
      </c>
      <c r="B19" s="5">
        <v>1.0</v>
      </c>
      <c r="C19" s="5" t="s">
        <v>6</v>
      </c>
      <c r="D19" s="5" t="s">
        <v>28</v>
      </c>
      <c r="E19" s="2">
        <f t="shared" si="3"/>
        <v>1</v>
      </c>
    </row>
    <row r="20" ht="14.25" customHeight="1">
      <c r="E20" s="6">
        <f>+E19+E18</f>
        <v>2</v>
      </c>
    </row>
    <row r="21" ht="14.25" hidden="1" customHeight="1"/>
    <row r="22" ht="14.25" hidden="1" customHeight="1">
      <c r="A22" s="3" t="s">
        <v>29</v>
      </c>
      <c r="B22" s="2">
        <v>0.0</v>
      </c>
      <c r="C22" s="2" t="s">
        <v>30</v>
      </c>
      <c r="D22" s="2" t="s">
        <v>30</v>
      </c>
    </row>
    <row r="23" ht="14.25" hidden="1" customHeight="1">
      <c r="A23" s="2" t="s">
        <v>9</v>
      </c>
      <c r="B23" s="2">
        <v>1.0</v>
      </c>
      <c r="C23" s="2" t="s">
        <v>6</v>
      </c>
      <c r="D23" s="2" t="s">
        <v>31</v>
      </c>
      <c r="E23" s="2">
        <f t="shared" ref="E23:E24" si="4">+B23*$B$22</f>
        <v>0</v>
      </c>
      <c r="N23" s="2">
        <f>7.5*0.75</f>
        <v>5.625</v>
      </c>
    </row>
    <row r="24" ht="14.25" hidden="1" customHeight="1">
      <c r="A24" s="5" t="s">
        <v>12</v>
      </c>
      <c r="B24" s="5">
        <v>4.0</v>
      </c>
      <c r="C24" s="5" t="s">
        <v>6</v>
      </c>
      <c r="D24" s="5" t="s">
        <v>27</v>
      </c>
      <c r="E24" s="5">
        <f t="shared" si="4"/>
        <v>0</v>
      </c>
      <c r="N24" s="2">
        <f>1.5*3</f>
        <v>4.5</v>
      </c>
    </row>
    <row r="25" ht="14.25" hidden="1" customHeight="1">
      <c r="E25" s="6">
        <f>+E23+E24</f>
        <v>0</v>
      </c>
    </row>
    <row r="26" ht="14.25" customHeight="1"/>
    <row r="27" ht="14.25" customHeight="1"/>
    <row r="28" ht="14.25" customHeight="1">
      <c r="A28" s="3" t="s">
        <v>32</v>
      </c>
      <c r="B28" s="2">
        <v>1.0</v>
      </c>
      <c r="C28" s="2"/>
      <c r="D28" s="2" t="s">
        <v>33</v>
      </c>
      <c r="E28" s="2"/>
    </row>
    <row r="29" ht="14.25" customHeight="1">
      <c r="A29" s="5" t="s">
        <v>5</v>
      </c>
      <c r="B29" s="5">
        <v>5.0</v>
      </c>
      <c r="C29" s="5" t="s">
        <v>6</v>
      </c>
      <c r="D29" s="5" t="s">
        <v>34</v>
      </c>
      <c r="E29" s="11">
        <f>+B29*B28</f>
        <v>5</v>
      </c>
    </row>
    <row r="30" ht="14.25" customHeight="1"/>
    <row r="31" ht="14.25" customHeight="1">
      <c r="E31" s="12">
        <f>+E29+E25+E20+E15+E8</f>
        <v>65</v>
      </c>
    </row>
    <row r="32" ht="14.25" customHeight="1"/>
    <row r="33" ht="14.25" customHeight="1"/>
    <row r="34" ht="14.25" customHeight="1"/>
    <row r="35" ht="14.25" customHeight="1">
      <c r="A35" s="13" t="s">
        <v>35</v>
      </c>
    </row>
    <row r="36" ht="14.25" hidden="1" customHeight="1"/>
    <row r="37" ht="14.25" hidden="1" customHeight="1"/>
    <row r="38" ht="14.25" hidden="1" customHeight="1">
      <c r="A38" s="2" t="s">
        <v>36</v>
      </c>
    </row>
    <row r="39" ht="14.25" hidden="1" customHeight="1">
      <c r="A39" s="2" t="s">
        <v>1</v>
      </c>
      <c r="D39" s="2" t="s">
        <v>2</v>
      </c>
      <c r="E39" s="2" t="s">
        <v>3</v>
      </c>
    </row>
    <row r="40" ht="14.25" hidden="1" customHeight="1">
      <c r="A40" s="3" t="s">
        <v>4</v>
      </c>
      <c r="B40" s="2">
        <v>1.0</v>
      </c>
    </row>
    <row r="41" ht="14.25" hidden="1" customHeight="1">
      <c r="A41" s="2" t="s">
        <v>5</v>
      </c>
      <c r="B41" s="2">
        <v>6.0</v>
      </c>
      <c r="C41" s="2" t="s">
        <v>6</v>
      </c>
      <c r="D41" s="2" t="s">
        <v>7</v>
      </c>
      <c r="E41" s="2">
        <f>B41</f>
        <v>6</v>
      </c>
    </row>
    <row r="42" ht="14.25" hidden="1" customHeight="1">
      <c r="A42" s="5" t="s">
        <v>12</v>
      </c>
      <c r="B42" s="5">
        <v>4.0</v>
      </c>
      <c r="C42" s="5" t="s">
        <v>6</v>
      </c>
      <c r="D42" s="5" t="s">
        <v>37</v>
      </c>
      <c r="E42" s="5">
        <f>+B42</f>
        <v>4</v>
      </c>
    </row>
    <row r="43" ht="14.25" hidden="1" customHeight="1">
      <c r="E43" s="6">
        <f>+E42+E41</f>
        <v>10</v>
      </c>
    </row>
    <row r="44" ht="14.25" hidden="1" customHeight="1"/>
    <row r="45" ht="14.25" hidden="1" customHeight="1">
      <c r="A45" s="3" t="s">
        <v>38</v>
      </c>
      <c r="B45" s="2">
        <v>5.0</v>
      </c>
      <c r="C45" s="2" t="s">
        <v>16</v>
      </c>
      <c r="D45" s="2" t="s">
        <v>39</v>
      </c>
    </row>
    <row r="46" ht="14.25" hidden="1" customHeight="1">
      <c r="A46" s="2" t="s">
        <v>9</v>
      </c>
      <c r="B46" s="2">
        <v>20.0</v>
      </c>
      <c r="C46" s="2" t="s">
        <v>40</v>
      </c>
      <c r="D46" s="2" t="s">
        <v>41</v>
      </c>
      <c r="E46" s="14">
        <f>B46*(0.015)*B45</f>
        <v>1.5</v>
      </c>
    </row>
    <row r="47" ht="14.25" hidden="1" customHeight="1">
      <c r="A47" s="2" t="s">
        <v>9</v>
      </c>
      <c r="B47" s="2">
        <v>30.0</v>
      </c>
      <c r="C47" s="2" t="s">
        <v>40</v>
      </c>
      <c r="D47" s="2" t="s">
        <v>42</v>
      </c>
      <c r="E47" s="14">
        <f>B47*(0.01666666)*B45</f>
        <v>2.499999</v>
      </c>
    </row>
    <row r="48" ht="14.25" hidden="1" customHeight="1">
      <c r="A48" s="2" t="s">
        <v>9</v>
      </c>
      <c r="B48" s="2">
        <v>8.5</v>
      </c>
      <c r="C48" s="2" t="s">
        <v>6</v>
      </c>
      <c r="D48" s="2" t="s">
        <v>43</v>
      </c>
      <c r="E48" s="2">
        <f t="shared" ref="E48:E49" si="5">+B48*$B$10</f>
        <v>34</v>
      </c>
    </row>
    <row r="49" ht="14.25" hidden="1" customHeight="1">
      <c r="A49" s="5" t="s">
        <v>12</v>
      </c>
      <c r="B49" s="5">
        <v>4.5</v>
      </c>
      <c r="C49" s="5" t="s">
        <v>6</v>
      </c>
      <c r="D49" s="5" t="s">
        <v>20</v>
      </c>
      <c r="E49" s="5">
        <f t="shared" si="5"/>
        <v>18</v>
      </c>
    </row>
    <row r="50" ht="14.25" hidden="1" customHeight="1">
      <c r="E50" s="10">
        <f>+SUM(E46:E49)</f>
        <v>55.999999</v>
      </c>
    </row>
    <row r="51" ht="14.25" hidden="1" customHeight="1"/>
    <row r="52" ht="14.25" hidden="1" customHeight="1">
      <c r="A52" s="3" t="s">
        <v>44</v>
      </c>
      <c r="B52" s="2">
        <v>5.0</v>
      </c>
      <c r="C52" s="2" t="s">
        <v>45</v>
      </c>
      <c r="D52" s="2" t="s">
        <v>46</v>
      </c>
    </row>
    <row r="53" ht="14.25" hidden="1" customHeight="1">
      <c r="A53" s="2" t="s">
        <v>9</v>
      </c>
      <c r="B53" s="2">
        <v>9.5</v>
      </c>
      <c r="C53" s="2" t="s">
        <v>6</v>
      </c>
      <c r="D53" s="2" t="s">
        <v>47</v>
      </c>
      <c r="E53" s="2">
        <f t="shared" ref="E53:E54" si="6">+B53*$B$52</f>
        <v>47.5</v>
      </c>
    </row>
    <row r="54" ht="14.25" hidden="1" customHeight="1">
      <c r="A54" s="5" t="s">
        <v>12</v>
      </c>
      <c r="B54" s="5">
        <v>4.5</v>
      </c>
      <c r="C54" s="5" t="s">
        <v>6</v>
      </c>
      <c r="D54" s="5" t="s">
        <v>48</v>
      </c>
      <c r="E54" s="2">
        <f t="shared" si="6"/>
        <v>22.5</v>
      </c>
    </row>
    <row r="55" ht="14.25" hidden="1" customHeight="1">
      <c r="E55" s="6">
        <f>+E54+E53</f>
        <v>70</v>
      </c>
    </row>
    <row r="56" ht="14.25" hidden="1" customHeight="1"/>
    <row r="57" ht="14.25" hidden="1" customHeight="1">
      <c r="A57" s="3" t="s">
        <v>29</v>
      </c>
      <c r="B57" s="2">
        <v>0.0</v>
      </c>
      <c r="C57" s="2" t="s">
        <v>30</v>
      </c>
      <c r="D57" s="2" t="s">
        <v>30</v>
      </c>
    </row>
    <row r="58" ht="14.25" hidden="1" customHeight="1">
      <c r="A58" s="2" t="s">
        <v>9</v>
      </c>
      <c r="B58" s="2">
        <v>1.0</v>
      </c>
      <c r="C58" s="2" t="s">
        <v>6</v>
      </c>
      <c r="D58" s="2" t="s">
        <v>31</v>
      </c>
      <c r="E58" s="2">
        <f t="shared" ref="E58:E59" si="7">+B58*$B$22</f>
        <v>0</v>
      </c>
    </row>
    <row r="59" ht="14.25" hidden="1" customHeight="1">
      <c r="A59" s="5" t="s">
        <v>12</v>
      </c>
      <c r="B59" s="5">
        <v>4.0</v>
      </c>
      <c r="C59" s="5" t="s">
        <v>6</v>
      </c>
      <c r="D59" s="5" t="s">
        <v>27</v>
      </c>
      <c r="E59" s="5">
        <f t="shared" si="7"/>
        <v>0</v>
      </c>
    </row>
    <row r="60" ht="14.25" hidden="1" customHeight="1">
      <c r="E60" s="6">
        <f>+E58+E59</f>
        <v>0</v>
      </c>
    </row>
    <row r="61" ht="14.25" hidden="1" customHeight="1"/>
    <row r="62" ht="14.25" hidden="1" customHeight="1"/>
    <row r="63" ht="14.25" hidden="1" customHeight="1">
      <c r="A63" s="3" t="s">
        <v>32</v>
      </c>
      <c r="B63" s="2">
        <v>1.0</v>
      </c>
      <c r="C63" s="2"/>
      <c r="D63" s="2" t="s">
        <v>33</v>
      </c>
      <c r="E63" s="2"/>
    </row>
    <row r="64" ht="14.25" hidden="1" customHeight="1">
      <c r="A64" s="5" t="s">
        <v>5</v>
      </c>
      <c r="B64" s="5">
        <v>6.0</v>
      </c>
      <c r="C64" s="5" t="s">
        <v>6</v>
      </c>
      <c r="D64" s="5" t="s">
        <v>34</v>
      </c>
      <c r="E64" s="11">
        <f>+B64*B63</f>
        <v>6</v>
      </c>
    </row>
    <row r="65" ht="14.25" hidden="1" customHeight="1"/>
    <row r="66" ht="14.25" hidden="1" customHeight="1">
      <c r="E66" s="15">
        <f>E64+E55+E43</f>
        <v>86</v>
      </c>
    </row>
    <row r="67" ht="14.25" hidden="1" customHeight="1"/>
    <row r="68" ht="14.25" customHeight="1">
      <c r="A68" s="16" t="s">
        <v>49</v>
      </c>
    </row>
    <row r="69" ht="14.25" customHeight="1">
      <c r="A69" s="16" t="s">
        <v>50</v>
      </c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3">
    <mergeCell ref="G11:G12"/>
    <mergeCell ref="G13:G14"/>
    <mergeCell ref="G15:G16"/>
  </mergeCells>
  <printOptions/>
  <pageMargins bottom="0.75" footer="0.0" header="0.0" left="0.25" right="0.25" top="0.75"/>
  <pageSetup scale="11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71"/>
    <col customWidth="1" min="2" max="2" width="16.71"/>
    <col customWidth="1" min="3" max="3" width="17.43"/>
    <col customWidth="1" min="4" max="4" width="35.57"/>
    <col customWidth="1" min="5" max="5" width="15.71"/>
    <col customWidth="1" min="6" max="6" width="5.43"/>
    <col customWidth="1" min="7" max="9" width="8.71"/>
    <col customWidth="1" hidden="1" min="10" max="10" width="8.71"/>
  </cols>
  <sheetData>
    <row r="1" ht="18.0" customHeight="1">
      <c r="A1" s="2"/>
      <c r="B1" s="17"/>
      <c r="C1" s="17"/>
      <c r="D1" s="17"/>
      <c r="E1" s="17"/>
      <c r="F1" s="2"/>
      <c r="G1" s="2"/>
      <c r="H1" s="2"/>
      <c r="I1" s="2"/>
      <c r="J1" s="2">
        <f>+SUM(F3:F28)</f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0" customHeight="1">
      <c r="A2" s="2"/>
      <c r="B2" s="18" t="s">
        <v>51</v>
      </c>
      <c r="C2" s="18" t="s">
        <v>52</v>
      </c>
      <c r="D2" s="18" t="s">
        <v>53</v>
      </c>
      <c r="E2" s="19" t="s">
        <v>54</v>
      </c>
      <c r="F2" s="2"/>
      <c r="G2" s="2"/>
      <c r="H2" s="2"/>
      <c r="I2" s="2"/>
      <c r="J2" s="20" t="s">
        <v>55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2"/>
      <c r="B3" s="21" t="s">
        <v>4</v>
      </c>
      <c r="C3" s="22" t="s">
        <v>56</v>
      </c>
      <c r="D3" s="23" t="s">
        <v>57</v>
      </c>
      <c r="E3" s="24" t="s">
        <v>58</v>
      </c>
      <c r="F3" s="2"/>
      <c r="G3" s="2"/>
      <c r="H3" s="2"/>
      <c r="I3" s="2"/>
      <c r="J3" s="2">
        <v>2.0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0" customHeight="1">
      <c r="A4" s="2"/>
      <c r="B4" s="21" t="s">
        <v>59</v>
      </c>
      <c r="C4" s="22" t="s">
        <v>60</v>
      </c>
      <c r="D4" s="23" t="s">
        <v>61</v>
      </c>
      <c r="E4" s="25"/>
      <c r="F4" s="2"/>
      <c r="G4" s="2"/>
      <c r="H4" s="2"/>
      <c r="I4" s="2"/>
      <c r="J4" s="2">
        <v>5.0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2"/>
      <c r="B5" s="22">
        <v>1.0</v>
      </c>
      <c r="C5" s="22" t="s">
        <v>62</v>
      </c>
      <c r="D5" s="23" t="s">
        <v>63</v>
      </c>
      <c r="E5" s="24" t="s">
        <v>64</v>
      </c>
      <c r="F5" s="2"/>
      <c r="G5" s="2"/>
      <c r="H5" s="2"/>
      <c r="I5" s="2"/>
      <c r="J5" s="2">
        <v>4.0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0" customHeight="1">
      <c r="A6" s="2"/>
      <c r="B6" s="22">
        <v>2.0</v>
      </c>
      <c r="C6" s="22" t="s">
        <v>56</v>
      </c>
      <c r="D6" s="23" t="s">
        <v>65</v>
      </c>
      <c r="E6" s="26"/>
      <c r="F6" s="2"/>
      <c r="G6" s="2"/>
      <c r="H6" s="2"/>
      <c r="I6" s="2"/>
      <c r="J6" s="2">
        <v>2.0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2"/>
      <c r="B7" s="22">
        <v>3.0</v>
      </c>
      <c r="C7" s="22" t="s">
        <v>62</v>
      </c>
      <c r="D7" s="23" t="s">
        <v>63</v>
      </c>
      <c r="E7" s="26"/>
      <c r="F7" s="2"/>
      <c r="G7" s="2"/>
      <c r="H7" s="2"/>
      <c r="I7" s="2"/>
      <c r="J7" s="2">
        <v>4.0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0" customHeight="1">
      <c r="A8" s="2"/>
      <c r="B8" s="22">
        <v>4.0</v>
      </c>
      <c r="C8" s="22" t="s">
        <v>56</v>
      </c>
      <c r="D8" s="23" t="s">
        <v>66</v>
      </c>
      <c r="E8" s="26"/>
      <c r="F8" s="2"/>
      <c r="G8" s="2"/>
      <c r="H8" s="2"/>
      <c r="I8" s="2"/>
      <c r="J8" s="2">
        <v>2.0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0" customHeight="1">
      <c r="A9" s="2"/>
      <c r="B9" s="22">
        <v>5.0</v>
      </c>
      <c r="C9" s="22" t="s">
        <v>67</v>
      </c>
      <c r="D9" s="23" t="s">
        <v>63</v>
      </c>
      <c r="E9" s="26"/>
      <c r="F9" s="2"/>
      <c r="G9" s="2"/>
      <c r="H9" s="2"/>
      <c r="I9" s="2"/>
      <c r="J9" s="2">
        <v>3.0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0" customHeight="1">
      <c r="A10" s="2"/>
      <c r="B10" s="22">
        <v>6.0</v>
      </c>
      <c r="C10" s="22" t="s">
        <v>68</v>
      </c>
      <c r="D10" s="23" t="s">
        <v>69</v>
      </c>
      <c r="E10" s="26"/>
      <c r="F10" s="2"/>
      <c r="G10" s="2"/>
      <c r="H10" s="2"/>
      <c r="I10" s="2"/>
      <c r="J10" s="2">
        <v>1.5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0" customHeight="1">
      <c r="A11" s="2"/>
      <c r="B11" s="22">
        <v>7.0</v>
      </c>
      <c r="C11" s="22" t="s">
        <v>67</v>
      </c>
      <c r="D11" s="23" t="s">
        <v>63</v>
      </c>
      <c r="E11" s="25"/>
      <c r="F11" s="2"/>
      <c r="G11" s="2"/>
      <c r="H11" s="2"/>
      <c r="I11" s="2"/>
      <c r="J11" s="2">
        <v>3.0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0" customHeight="1">
      <c r="A12" s="2"/>
      <c r="B12" s="22">
        <v>8.0</v>
      </c>
      <c r="C12" s="22" t="s">
        <v>68</v>
      </c>
      <c r="D12" s="23" t="s">
        <v>70</v>
      </c>
      <c r="E12" s="27" t="s">
        <v>71</v>
      </c>
      <c r="F12" s="2"/>
      <c r="G12" s="2"/>
      <c r="H12" s="2"/>
      <c r="I12" s="2"/>
      <c r="J12" s="2">
        <v>1.5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0" customHeight="1">
      <c r="A13" s="2"/>
      <c r="B13" s="22">
        <v>9.0</v>
      </c>
      <c r="C13" s="22" t="s">
        <v>56</v>
      </c>
      <c r="D13" s="23" t="s">
        <v>72</v>
      </c>
      <c r="E13" s="26"/>
      <c r="F13" s="2"/>
      <c r="G13" s="2"/>
      <c r="H13" s="2"/>
      <c r="I13" s="2"/>
      <c r="J13" s="2">
        <v>2.0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2"/>
      <c r="B14" s="22">
        <v>10.0</v>
      </c>
      <c r="C14" s="22" t="s">
        <v>73</v>
      </c>
      <c r="D14" s="23" t="s">
        <v>74</v>
      </c>
      <c r="E14" s="26"/>
      <c r="F14" s="2"/>
      <c r="G14" s="2"/>
      <c r="H14" s="2"/>
      <c r="I14" s="2"/>
      <c r="J14" s="2">
        <v>1.0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0" customHeight="1">
      <c r="A15" s="2"/>
      <c r="B15" s="22">
        <v>11.0</v>
      </c>
      <c r="C15" s="22" t="s">
        <v>56</v>
      </c>
      <c r="D15" s="23" t="s">
        <v>72</v>
      </c>
      <c r="E15" s="25"/>
      <c r="F15" s="2"/>
      <c r="G15" s="2"/>
      <c r="H15" s="2"/>
      <c r="I15" s="2"/>
      <c r="J15" s="2">
        <v>2.0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0" customHeight="1">
      <c r="A16" s="2"/>
      <c r="B16" s="22">
        <v>12.0</v>
      </c>
      <c r="C16" s="22" t="s">
        <v>73</v>
      </c>
      <c r="D16" s="23" t="s">
        <v>75</v>
      </c>
      <c r="E16" s="27" t="s">
        <v>76</v>
      </c>
      <c r="F16" s="2"/>
      <c r="G16" s="2"/>
      <c r="H16" s="2"/>
      <c r="I16" s="2"/>
      <c r="J16" s="2">
        <v>1.0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0" customHeight="1">
      <c r="A17" s="2"/>
      <c r="B17" s="22">
        <v>13.0</v>
      </c>
      <c r="C17" s="22" t="s">
        <v>73</v>
      </c>
      <c r="D17" s="23" t="s">
        <v>77</v>
      </c>
      <c r="E17" s="26"/>
      <c r="F17" s="2"/>
      <c r="G17" s="2"/>
      <c r="H17" s="2"/>
      <c r="I17" s="2"/>
      <c r="J17" s="2">
        <v>1.0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0" customHeight="1">
      <c r="A18" s="2"/>
      <c r="B18" s="22">
        <v>14.0</v>
      </c>
      <c r="C18" s="22" t="s">
        <v>67</v>
      </c>
      <c r="D18" s="28" t="s">
        <v>78</v>
      </c>
      <c r="E18" s="26"/>
      <c r="F18" s="2"/>
      <c r="G18" s="2"/>
      <c r="H18" s="2"/>
      <c r="I18" s="2"/>
      <c r="J18" s="2">
        <v>3.0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>
      <c r="A19" s="2"/>
      <c r="B19" s="22">
        <v>15.0</v>
      </c>
      <c r="C19" s="22" t="s">
        <v>73</v>
      </c>
      <c r="D19" s="23" t="s">
        <v>77</v>
      </c>
      <c r="E19" s="25"/>
      <c r="F19" s="2"/>
      <c r="G19" s="2"/>
      <c r="H19" s="2"/>
      <c r="I19" s="2"/>
      <c r="J19" s="2">
        <v>1.0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0" customHeight="1">
      <c r="A20" s="2"/>
      <c r="B20" s="22">
        <v>16.0</v>
      </c>
      <c r="C20" s="22" t="s">
        <v>67</v>
      </c>
      <c r="D20" s="23" t="s">
        <v>79</v>
      </c>
      <c r="E20" s="27" t="s">
        <v>71</v>
      </c>
      <c r="F20" s="2"/>
      <c r="G20" s="2"/>
      <c r="H20" s="2"/>
      <c r="I20" s="2"/>
      <c r="J20" s="2">
        <v>3.0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2"/>
      <c r="B21" s="22">
        <v>17.0</v>
      </c>
      <c r="C21" s="22" t="s">
        <v>56</v>
      </c>
      <c r="D21" s="23" t="s">
        <v>72</v>
      </c>
      <c r="E21" s="26"/>
      <c r="F21" s="2"/>
      <c r="G21" s="2"/>
      <c r="H21" s="2"/>
      <c r="I21" s="2"/>
      <c r="J21" s="2">
        <v>2.0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0" customHeight="1">
      <c r="A22" s="2"/>
      <c r="B22" s="22">
        <v>18.0</v>
      </c>
      <c r="C22" s="22" t="s">
        <v>73</v>
      </c>
      <c r="D22" s="23" t="s">
        <v>80</v>
      </c>
      <c r="E22" s="26"/>
      <c r="F22" s="2"/>
      <c r="G22" s="2"/>
      <c r="H22" s="2"/>
      <c r="I22" s="2"/>
      <c r="J22" s="2">
        <v>1.0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0" customHeight="1">
      <c r="A23" s="2"/>
      <c r="B23" s="22">
        <v>19.0</v>
      </c>
      <c r="C23" s="22" t="s">
        <v>56</v>
      </c>
      <c r="D23" s="23" t="s">
        <v>72</v>
      </c>
      <c r="E23" s="25"/>
      <c r="F23" s="2"/>
      <c r="G23" s="2"/>
      <c r="H23" s="2"/>
      <c r="I23" s="2"/>
      <c r="J23" s="2">
        <v>2.0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0" customHeight="1">
      <c r="A24" s="2"/>
      <c r="B24" s="22">
        <v>20.0</v>
      </c>
      <c r="C24" s="22" t="s">
        <v>73</v>
      </c>
      <c r="D24" s="23" t="s">
        <v>70</v>
      </c>
      <c r="E24" s="29" t="s">
        <v>64</v>
      </c>
      <c r="F24" s="2"/>
      <c r="G24" s="2"/>
      <c r="H24" s="2"/>
      <c r="I24" s="2"/>
      <c r="J24" s="2">
        <v>1.0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0" customHeight="1">
      <c r="A25" s="2"/>
      <c r="B25" s="22">
        <v>21.0</v>
      </c>
      <c r="C25" s="22" t="s">
        <v>62</v>
      </c>
      <c r="D25" s="23" t="s">
        <v>63</v>
      </c>
      <c r="E25" s="26"/>
      <c r="F25" s="2"/>
      <c r="G25" s="2"/>
      <c r="H25" s="2"/>
      <c r="I25" s="2"/>
      <c r="J25" s="2">
        <v>4.0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2"/>
      <c r="B26" s="22">
        <v>22.0</v>
      </c>
      <c r="C26" s="22" t="s">
        <v>81</v>
      </c>
      <c r="D26" s="23" t="s">
        <v>82</v>
      </c>
      <c r="E26" s="25"/>
      <c r="F26" s="2"/>
      <c r="G26" s="2"/>
      <c r="H26" s="2"/>
      <c r="I26" s="2"/>
      <c r="J26" s="30">
        <v>1.0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0" customHeight="1">
      <c r="A27" s="2"/>
      <c r="B27" s="22">
        <v>22.2</v>
      </c>
      <c r="C27" s="22" t="s">
        <v>81</v>
      </c>
      <c r="D27" s="23" t="s">
        <v>83</v>
      </c>
      <c r="E27" s="31">
        <v>14.0</v>
      </c>
      <c r="F27" s="2"/>
      <c r="G27" s="2"/>
      <c r="H27" s="2"/>
      <c r="I27" s="2"/>
      <c r="J27" s="3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0" customHeight="1">
      <c r="A28" s="2"/>
      <c r="B28" s="17"/>
      <c r="C28" s="17"/>
      <c r="D28" s="17"/>
      <c r="E28" s="17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2"/>
      <c r="B29" s="17"/>
      <c r="C29" s="17"/>
      <c r="D29" s="17"/>
      <c r="E29" s="17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0" customHeight="1">
      <c r="A30" s="2"/>
      <c r="B30" s="17"/>
      <c r="C30" s="17"/>
      <c r="D30" s="17"/>
      <c r="E30" s="17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0" customHeight="1">
      <c r="A31" s="2"/>
      <c r="B31" s="17"/>
      <c r="C31" s="17"/>
      <c r="D31" s="17"/>
      <c r="E31" s="17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0" customHeight="1">
      <c r="A32" s="2"/>
      <c r="B32" s="17"/>
      <c r="C32" s="17"/>
      <c r="D32" s="2" t="s">
        <v>84</v>
      </c>
      <c r="E32" s="17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0" customHeight="1">
      <c r="A33" s="2"/>
      <c r="B33" s="17"/>
      <c r="C33" s="17"/>
      <c r="D33" s="17"/>
      <c r="E33" s="17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0" customHeight="1">
      <c r="A34" s="2"/>
      <c r="B34" s="17"/>
      <c r="C34" s="17"/>
      <c r="D34" s="17"/>
      <c r="E34" s="17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0" customHeight="1">
      <c r="A35" s="2"/>
      <c r="B35" s="17"/>
      <c r="C35" s="17"/>
      <c r="D35" s="17"/>
      <c r="E35" s="17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0" customHeight="1">
      <c r="A36" s="2"/>
      <c r="B36" s="17"/>
      <c r="C36" s="17"/>
      <c r="D36" s="17"/>
      <c r="E36" s="17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0" customHeight="1">
      <c r="A37" s="2"/>
      <c r="B37" s="17"/>
      <c r="C37" s="17"/>
      <c r="D37" s="17"/>
      <c r="E37" s="17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0" customHeight="1">
      <c r="A38" s="2"/>
      <c r="B38" s="17"/>
      <c r="C38" s="17"/>
      <c r="D38" s="17"/>
      <c r="E38" s="17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0" customHeight="1">
      <c r="A39" s="2"/>
      <c r="B39" s="17"/>
      <c r="C39" s="17"/>
      <c r="D39" s="17"/>
      <c r="E39" s="17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0" customHeight="1">
      <c r="A40" s="2"/>
      <c r="B40" s="17"/>
      <c r="C40" s="17"/>
      <c r="D40" s="17"/>
      <c r="E40" s="17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0" customHeight="1">
      <c r="A41" s="2"/>
      <c r="B41" s="17"/>
      <c r="C41" s="17"/>
      <c r="D41" s="17"/>
      <c r="E41" s="17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0" customHeight="1">
      <c r="A42" s="2"/>
      <c r="B42" s="17"/>
      <c r="C42" s="17"/>
      <c r="D42" s="17"/>
      <c r="E42" s="17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0" customHeight="1">
      <c r="A43" s="2"/>
      <c r="B43" s="17"/>
      <c r="C43" s="17"/>
      <c r="D43" s="17"/>
      <c r="E43" s="17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0" customHeight="1">
      <c r="A44" s="2"/>
      <c r="B44" s="17"/>
      <c r="C44" s="17"/>
      <c r="D44" s="17"/>
      <c r="E44" s="17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0" customHeight="1">
      <c r="A45" s="2"/>
      <c r="B45" s="17"/>
      <c r="C45" s="17"/>
      <c r="D45" s="17"/>
      <c r="E45" s="17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0" customHeight="1">
      <c r="A46" s="2"/>
      <c r="B46" s="17"/>
      <c r="C46" s="17"/>
      <c r="D46" s="17"/>
      <c r="E46" s="17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0" customHeight="1">
      <c r="A47" s="2"/>
      <c r="B47" s="17"/>
      <c r="C47" s="17"/>
      <c r="D47" s="17"/>
      <c r="E47" s="17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0" customHeight="1">
      <c r="A48" s="2"/>
      <c r="B48" s="17"/>
      <c r="C48" s="17"/>
      <c r="D48" s="17"/>
      <c r="E48" s="17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0" customHeight="1">
      <c r="A49" s="2"/>
      <c r="B49" s="17"/>
      <c r="C49" s="17"/>
      <c r="D49" s="17"/>
      <c r="E49" s="17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0" customHeight="1">
      <c r="A50" s="2"/>
      <c r="B50" s="17"/>
      <c r="C50" s="17"/>
      <c r="D50" s="17"/>
      <c r="E50" s="17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0" customHeight="1">
      <c r="A51" s="2"/>
      <c r="B51" s="17"/>
      <c r="C51" s="17"/>
      <c r="D51" s="17"/>
      <c r="E51" s="17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0" customHeight="1">
      <c r="A52" s="2"/>
      <c r="B52" s="17"/>
      <c r="C52" s="17"/>
      <c r="D52" s="17"/>
      <c r="E52" s="17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0" customHeight="1">
      <c r="A53" s="2"/>
      <c r="B53" s="17"/>
      <c r="C53" s="17"/>
      <c r="D53" s="17"/>
      <c r="E53" s="17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0" customHeight="1">
      <c r="A54" s="2"/>
      <c r="B54" s="17"/>
      <c r="C54" s="17"/>
      <c r="D54" s="17"/>
      <c r="E54" s="17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0" customHeight="1">
      <c r="A55" s="2"/>
      <c r="B55" s="17"/>
      <c r="C55" s="17"/>
      <c r="D55" s="17"/>
      <c r="E55" s="17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0" customHeight="1">
      <c r="A56" s="2"/>
      <c r="B56" s="17"/>
      <c r="C56" s="17"/>
      <c r="D56" s="17"/>
      <c r="E56" s="17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0" customHeight="1">
      <c r="A57" s="2"/>
      <c r="B57" s="17"/>
      <c r="C57" s="17"/>
      <c r="D57" s="17"/>
      <c r="E57" s="17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0" customHeight="1">
      <c r="A58" s="2"/>
      <c r="B58" s="17"/>
      <c r="C58" s="17"/>
      <c r="D58" s="17"/>
      <c r="E58" s="17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0" customHeight="1">
      <c r="A59" s="2"/>
      <c r="B59" s="17"/>
      <c r="C59" s="17"/>
      <c r="D59" s="17"/>
      <c r="E59" s="17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0" customHeight="1">
      <c r="A60" s="2"/>
      <c r="B60" s="17"/>
      <c r="C60" s="17"/>
      <c r="D60" s="17"/>
      <c r="E60" s="17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0" customHeight="1">
      <c r="A61" s="2"/>
      <c r="B61" s="17"/>
      <c r="C61" s="17"/>
      <c r="D61" s="17"/>
      <c r="E61" s="17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0" customHeight="1">
      <c r="A62" s="2"/>
      <c r="B62" s="17"/>
      <c r="C62" s="17"/>
      <c r="D62" s="17"/>
      <c r="E62" s="17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0" customHeight="1">
      <c r="A63" s="2"/>
      <c r="B63" s="17"/>
      <c r="C63" s="17"/>
      <c r="D63" s="17"/>
      <c r="E63" s="17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0" customHeight="1">
      <c r="A64" s="2"/>
      <c r="B64" s="17"/>
      <c r="C64" s="17"/>
      <c r="D64" s="17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0" customHeight="1">
      <c r="A65" s="2"/>
      <c r="B65" s="17"/>
      <c r="C65" s="17"/>
      <c r="D65" s="17"/>
      <c r="E65" s="17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0" customHeight="1">
      <c r="A66" s="2"/>
      <c r="B66" s="17"/>
      <c r="C66" s="17"/>
      <c r="D66" s="17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0" customHeight="1">
      <c r="A67" s="2"/>
      <c r="B67" s="17"/>
      <c r="C67" s="17"/>
      <c r="D67" s="17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0" customHeight="1">
      <c r="A68" s="2"/>
      <c r="B68" s="17"/>
      <c r="C68" s="17"/>
      <c r="D68" s="17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0" customHeight="1">
      <c r="A69" s="2"/>
      <c r="B69" s="17"/>
      <c r="C69" s="17"/>
      <c r="D69" s="17"/>
      <c r="E69" s="17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0" customHeight="1">
      <c r="A70" s="2"/>
      <c r="B70" s="17"/>
      <c r="C70" s="17"/>
      <c r="D70" s="17"/>
      <c r="E70" s="17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0" customHeight="1">
      <c r="A71" s="2"/>
      <c r="B71" s="17"/>
      <c r="C71" s="17"/>
      <c r="D71" s="17"/>
      <c r="E71" s="17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0" customHeight="1">
      <c r="A72" s="2"/>
      <c r="B72" s="17"/>
      <c r="C72" s="17"/>
      <c r="D72" s="17"/>
      <c r="E72" s="17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0" customHeight="1">
      <c r="A73" s="2"/>
      <c r="B73" s="17"/>
      <c r="C73" s="17"/>
      <c r="D73" s="17"/>
      <c r="E73" s="17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0" customHeight="1">
      <c r="A74" s="2"/>
      <c r="B74" s="17"/>
      <c r="C74" s="17"/>
      <c r="D74" s="17"/>
      <c r="E74" s="17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0" customHeight="1">
      <c r="A75" s="2"/>
      <c r="B75" s="17"/>
      <c r="C75" s="17"/>
      <c r="D75" s="17"/>
      <c r="E75" s="17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2"/>
      <c r="B76" s="17"/>
      <c r="C76" s="17"/>
      <c r="D76" s="17"/>
      <c r="E76" s="17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0" customHeight="1">
      <c r="A77" s="2"/>
      <c r="B77" s="17"/>
      <c r="C77" s="17"/>
      <c r="D77" s="17"/>
      <c r="E77" s="17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0" customHeight="1">
      <c r="A78" s="2"/>
      <c r="B78" s="17"/>
      <c r="C78" s="17"/>
      <c r="D78" s="17"/>
      <c r="E78" s="17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0" customHeight="1">
      <c r="A79" s="2"/>
      <c r="B79" s="17"/>
      <c r="C79" s="17"/>
      <c r="D79" s="17"/>
      <c r="E79" s="17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0" customHeight="1">
      <c r="A80" s="2"/>
      <c r="B80" s="17"/>
      <c r="C80" s="17"/>
      <c r="D80" s="17"/>
      <c r="E80" s="17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0" customHeight="1">
      <c r="A81" s="2"/>
      <c r="B81" s="17"/>
      <c r="C81" s="17"/>
      <c r="D81" s="17"/>
      <c r="E81" s="17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0" customHeight="1">
      <c r="A82" s="2"/>
      <c r="B82" s="17"/>
      <c r="C82" s="17"/>
      <c r="D82" s="17"/>
      <c r="E82" s="17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0" customHeight="1">
      <c r="A83" s="2"/>
      <c r="B83" s="17"/>
      <c r="C83" s="17"/>
      <c r="D83" s="17"/>
      <c r="E83" s="17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0" customHeight="1">
      <c r="A84" s="2"/>
      <c r="B84" s="17"/>
      <c r="C84" s="17"/>
      <c r="D84" s="17"/>
      <c r="E84" s="17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0" customHeight="1">
      <c r="A85" s="2"/>
      <c r="B85" s="17"/>
      <c r="C85" s="17"/>
      <c r="D85" s="17"/>
      <c r="E85" s="17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0" customHeight="1">
      <c r="A86" s="2"/>
      <c r="B86" s="17"/>
      <c r="C86" s="17"/>
      <c r="D86" s="17"/>
      <c r="E86" s="17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0" customHeight="1">
      <c r="A87" s="2"/>
      <c r="B87" s="17"/>
      <c r="C87" s="17"/>
      <c r="D87" s="17"/>
      <c r="E87" s="17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0" customHeight="1">
      <c r="A88" s="2"/>
      <c r="B88" s="17"/>
      <c r="C88" s="17"/>
      <c r="D88" s="17"/>
      <c r="E88" s="17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0" customHeight="1">
      <c r="A89" s="2"/>
      <c r="B89" s="17"/>
      <c r="C89" s="17"/>
      <c r="D89" s="17"/>
      <c r="E89" s="17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0" customHeight="1">
      <c r="A90" s="2"/>
      <c r="B90" s="17"/>
      <c r="C90" s="17"/>
      <c r="D90" s="17"/>
      <c r="E90" s="17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0" customHeight="1">
      <c r="A91" s="2"/>
      <c r="B91" s="17"/>
      <c r="C91" s="17"/>
      <c r="D91" s="17"/>
      <c r="E91" s="17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0" customHeight="1">
      <c r="A92" s="2"/>
      <c r="B92" s="17"/>
      <c r="C92" s="17"/>
      <c r="D92" s="17"/>
      <c r="E92" s="17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0" customHeight="1">
      <c r="A93" s="2"/>
      <c r="B93" s="17"/>
      <c r="C93" s="17"/>
      <c r="D93" s="17"/>
      <c r="E93" s="17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0" customHeight="1">
      <c r="A94" s="2"/>
      <c r="B94" s="17"/>
      <c r="C94" s="17"/>
      <c r="D94" s="17"/>
      <c r="E94" s="1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0" customHeight="1">
      <c r="A95" s="2"/>
      <c r="B95" s="17"/>
      <c r="C95" s="17"/>
      <c r="D95" s="17"/>
      <c r="E95" s="17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0" customHeight="1">
      <c r="A96" s="2"/>
      <c r="B96" s="17"/>
      <c r="C96" s="17"/>
      <c r="D96" s="17"/>
      <c r="E96" s="17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0" customHeight="1">
      <c r="A97" s="2"/>
      <c r="B97" s="17"/>
      <c r="C97" s="17"/>
      <c r="D97" s="17"/>
      <c r="E97" s="17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0" customHeight="1">
      <c r="A98" s="2"/>
      <c r="B98" s="17"/>
      <c r="C98" s="17"/>
      <c r="D98" s="17"/>
      <c r="E98" s="17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0" customHeight="1">
      <c r="A99" s="2"/>
      <c r="B99" s="17"/>
      <c r="C99" s="17"/>
      <c r="D99" s="17"/>
      <c r="E99" s="17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0" customHeight="1">
      <c r="A100" s="2"/>
      <c r="B100" s="17"/>
      <c r="C100" s="17"/>
      <c r="D100" s="17"/>
      <c r="E100" s="17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0" customHeight="1">
      <c r="A101" s="2"/>
      <c r="B101" s="17"/>
      <c r="C101" s="17"/>
      <c r="D101" s="17"/>
      <c r="E101" s="17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0" customHeight="1">
      <c r="A102" s="2"/>
      <c r="B102" s="17"/>
      <c r="C102" s="17"/>
      <c r="D102" s="17"/>
      <c r="E102" s="17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0" customHeight="1">
      <c r="A103" s="2"/>
      <c r="B103" s="17"/>
      <c r="C103" s="17"/>
      <c r="D103" s="17"/>
      <c r="E103" s="17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0" customHeight="1">
      <c r="A104" s="2"/>
      <c r="B104" s="17"/>
      <c r="C104" s="17"/>
      <c r="D104" s="17"/>
      <c r="E104" s="17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0" customHeight="1">
      <c r="A105" s="2"/>
      <c r="B105" s="17"/>
      <c r="C105" s="17"/>
      <c r="D105" s="17"/>
      <c r="E105" s="17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0" customHeight="1">
      <c r="A106" s="2"/>
      <c r="B106" s="17"/>
      <c r="C106" s="17"/>
      <c r="D106" s="17"/>
      <c r="E106" s="17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0" customHeight="1">
      <c r="A107" s="2"/>
      <c r="B107" s="17"/>
      <c r="C107" s="17"/>
      <c r="D107" s="17"/>
      <c r="E107" s="17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0" customHeight="1">
      <c r="A108" s="2"/>
      <c r="B108" s="17"/>
      <c r="C108" s="17"/>
      <c r="D108" s="17"/>
      <c r="E108" s="17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0" customHeight="1">
      <c r="A109" s="2"/>
      <c r="B109" s="17"/>
      <c r="C109" s="17"/>
      <c r="D109" s="17"/>
      <c r="E109" s="17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0" customHeight="1">
      <c r="A110" s="2"/>
      <c r="B110" s="17"/>
      <c r="C110" s="17"/>
      <c r="D110" s="17"/>
      <c r="E110" s="17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0" customHeight="1">
      <c r="A111" s="2"/>
      <c r="B111" s="17"/>
      <c r="C111" s="17"/>
      <c r="D111" s="17"/>
      <c r="E111" s="17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0" customHeight="1">
      <c r="A112" s="2"/>
      <c r="B112" s="17"/>
      <c r="C112" s="17"/>
      <c r="D112" s="17"/>
      <c r="E112" s="17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0" customHeight="1">
      <c r="A113" s="2"/>
      <c r="B113" s="17"/>
      <c r="C113" s="17"/>
      <c r="D113" s="17"/>
      <c r="E113" s="17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0" customHeight="1">
      <c r="A114" s="2"/>
      <c r="B114" s="17"/>
      <c r="C114" s="17"/>
      <c r="D114" s="17"/>
      <c r="E114" s="17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0" customHeight="1">
      <c r="A115" s="2"/>
      <c r="B115" s="17"/>
      <c r="C115" s="17"/>
      <c r="D115" s="17"/>
      <c r="E115" s="17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0" customHeight="1">
      <c r="A116" s="2"/>
      <c r="B116" s="17"/>
      <c r="C116" s="17"/>
      <c r="D116" s="17"/>
      <c r="E116" s="17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0" customHeight="1">
      <c r="A117" s="2"/>
      <c r="B117" s="17"/>
      <c r="C117" s="17"/>
      <c r="D117" s="17"/>
      <c r="E117" s="17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0" customHeight="1">
      <c r="A118" s="2"/>
      <c r="B118" s="17"/>
      <c r="C118" s="17"/>
      <c r="D118" s="17"/>
      <c r="E118" s="17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0" customHeight="1">
      <c r="A119" s="2"/>
      <c r="B119" s="17"/>
      <c r="C119" s="17"/>
      <c r="D119" s="17"/>
      <c r="E119" s="17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0" customHeight="1">
      <c r="A120" s="2"/>
      <c r="B120" s="17"/>
      <c r="C120" s="17"/>
      <c r="D120" s="17"/>
      <c r="E120" s="17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0" customHeight="1">
      <c r="A121" s="2"/>
      <c r="B121" s="17"/>
      <c r="C121" s="17"/>
      <c r="D121" s="17"/>
      <c r="E121" s="17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0" customHeight="1">
      <c r="A122" s="2"/>
      <c r="B122" s="17"/>
      <c r="C122" s="17"/>
      <c r="D122" s="17"/>
      <c r="E122" s="17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0" customHeight="1">
      <c r="A123" s="2"/>
      <c r="B123" s="17"/>
      <c r="C123" s="17"/>
      <c r="D123" s="17"/>
      <c r="E123" s="17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0" customHeight="1">
      <c r="A124" s="2"/>
      <c r="B124" s="17"/>
      <c r="C124" s="17"/>
      <c r="D124" s="17"/>
      <c r="E124" s="17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0" customHeight="1">
      <c r="A125" s="2"/>
      <c r="B125" s="17"/>
      <c r="C125" s="17"/>
      <c r="D125" s="17"/>
      <c r="E125" s="17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0" customHeight="1">
      <c r="A126" s="2"/>
      <c r="B126" s="17"/>
      <c r="C126" s="17"/>
      <c r="D126" s="17"/>
      <c r="E126" s="17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0" customHeight="1">
      <c r="A127" s="2"/>
      <c r="B127" s="17"/>
      <c r="C127" s="17"/>
      <c r="D127" s="17"/>
      <c r="E127" s="17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0" customHeight="1">
      <c r="A128" s="2"/>
      <c r="B128" s="17"/>
      <c r="C128" s="17"/>
      <c r="D128" s="17"/>
      <c r="E128" s="17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0" customHeight="1">
      <c r="A129" s="2"/>
      <c r="B129" s="17"/>
      <c r="C129" s="17"/>
      <c r="D129" s="17"/>
      <c r="E129" s="17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0" customHeight="1">
      <c r="A130" s="2"/>
      <c r="B130" s="17"/>
      <c r="C130" s="17"/>
      <c r="D130" s="17"/>
      <c r="E130" s="17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0" customHeight="1">
      <c r="A131" s="2"/>
      <c r="B131" s="17"/>
      <c r="C131" s="17"/>
      <c r="D131" s="17"/>
      <c r="E131" s="17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0" customHeight="1">
      <c r="A132" s="2"/>
      <c r="B132" s="17"/>
      <c r="C132" s="17"/>
      <c r="D132" s="17"/>
      <c r="E132" s="17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0" customHeight="1">
      <c r="A133" s="2"/>
      <c r="B133" s="17"/>
      <c r="C133" s="17"/>
      <c r="D133" s="17"/>
      <c r="E133" s="17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0" customHeight="1">
      <c r="A134" s="2"/>
      <c r="B134" s="17"/>
      <c r="C134" s="17"/>
      <c r="D134" s="17"/>
      <c r="E134" s="17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0" customHeight="1">
      <c r="A135" s="2"/>
      <c r="B135" s="17"/>
      <c r="C135" s="17"/>
      <c r="D135" s="17"/>
      <c r="E135" s="17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0" customHeight="1">
      <c r="A136" s="2"/>
      <c r="B136" s="17"/>
      <c r="C136" s="17"/>
      <c r="D136" s="17"/>
      <c r="E136" s="17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0" customHeight="1">
      <c r="A137" s="2"/>
      <c r="B137" s="17"/>
      <c r="C137" s="17"/>
      <c r="D137" s="17"/>
      <c r="E137" s="17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0" customHeight="1">
      <c r="A138" s="2"/>
      <c r="B138" s="17"/>
      <c r="C138" s="17"/>
      <c r="D138" s="17"/>
      <c r="E138" s="17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0" customHeight="1">
      <c r="A139" s="2"/>
      <c r="B139" s="17"/>
      <c r="C139" s="17"/>
      <c r="D139" s="17"/>
      <c r="E139" s="17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0" customHeight="1">
      <c r="A140" s="2"/>
      <c r="B140" s="17"/>
      <c r="C140" s="17"/>
      <c r="D140" s="17"/>
      <c r="E140" s="17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0" customHeight="1">
      <c r="A141" s="2"/>
      <c r="B141" s="17"/>
      <c r="C141" s="17"/>
      <c r="D141" s="17"/>
      <c r="E141" s="17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0" customHeight="1">
      <c r="A142" s="2"/>
      <c r="B142" s="17"/>
      <c r="C142" s="17"/>
      <c r="D142" s="17"/>
      <c r="E142" s="17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0" customHeight="1">
      <c r="A143" s="2"/>
      <c r="B143" s="17"/>
      <c r="C143" s="17"/>
      <c r="D143" s="17"/>
      <c r="E143" s="17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0" customHeight="1">
      <c r="A144" s="2"/>
      <c r="B144" s="17"/>
      <c r="C144" s="17"/>
      <c r="D144" s="17"/>
      <c r="E144" s="17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0" customHeight="1">
      <c r="A145" s="2"/>
      <c r="B145" s="17"/>
      <c r="C145" s="17"/>
      <c r="D145" s="17"/>
      <c r="E145" s="17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0" customHeight="1">
      <c r="A146" s="2"/>
      <c r="B146" s="17"/>
      <c r="C146" s="17"/>
      <c r="D146" s="17"/>
      <c r="E146" s="17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0" customHeight="1">
      <c r="A147" s="2"/>
      <c r="B147" s="17"/>
      <c r="C147" s="17"/>
      <c r="D147" s="17"/>
      <c r="E147" s="17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0" customHeight="1">
      <c r="A148" s="2"/>
      <c r="B148" s="17"/>
      <c r="C148" s="17"/>
      <c r="D148" s="17"/>
      <c r="E148" s="17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0" customHeight="1">
      <c r="A149" s="2"/>
      <c r="B149" s="17"/>
      <c r="C149" s="17"/>
      <c r="D149" s="17"/>
      <c r="E149" s="17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0" customHeight="1">
      <c r="A150" s="2"/>
      <c r="B150" s="17"/>
      <c r="C150" s="17"/>
      <c r="D150" s="17"/>
      <c r="E150" s="17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0" customHeight="1">
      <c r="A151" s="2"/>
      <c r="B151" s="17"/>
      <c r="C151" s="17"/>
      <c r="D151" s="17"/>
      <c r="E151" s="17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0" customHeight="1">
      <c r="A152" s="2"/>
      <c r="B152" s="17"/>
      <c r="C152" s="17"/>
      <c r="D152" s="17"/>
      <c r="E152" s="17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0" customHeight="1">
      <c r="A153" s="2"/>
      <c r="B153" s="17"/>
      <c r="C153" s="17"/>
      <c r="D153" s="17"/>
      <c r="E153" s="17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0" customHeight="1">
      <c r="A154" s="2"/>
      <c r="B154" s="17"/>
      <c r="C154" s="17"/>
      <c r="D154" s="17"/>
      <c r="E154" s="17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0" customHeight="1">
      <c r="A155" s="2"/>
      <c r="B155" s="17"/>
      <c r="C155" s="17"/>
      <c r="D155" s="17"/>
      <c r="E155" s="17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0" customHeight="1">
      <c r="A156" s="2"/>
      <c r="B156" s="17"/>
      <c r="C156" s="17"/>
      <c r="D156" s="17"/>
      <c r="E156" s="17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0" customHeight="1">
      <c r="A157" s="2"/>
      <c r="B157" s="17"/>
      <c r="C157" s="17"/>
      <c r="D157" s="17"/>
      <c r="E157" s="17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0" customHeight="1">
      <c r="A158" s="2"/>
      <c r="B158" s="17"/>
      <c r="C158" s="17"/>
      <c r="D158" s="17"/>
      <c r="E158" s="17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0" customHeight="1">
      <c r="A159" s="2"/>
      <c r="B159" s="17"/>
      <c r="C159" s="17"/>
      <c r="D159" s="17"/>
      <c r="E159" s="17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0" customHeight="1">
      <c r="A160" s="2"/>
      <c r="B160" s="17"/>
      <c r="C160" s="17"/>
      <c r="D160" s="17"/>
      <c r="E160" s="17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0" customHeight="1">
      <c r="A161" s="2"/>
      <c r="B161" s="17"/>
      <c r="C161" s="17"/>
      <c r="D161" s="17"/>
      <c r="E161" s="17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0" customHeight="1">
      <c r="A162" s="2"/>
      <c r="B162" s="17"/>
      <c r="C162" s="17"/>
      <c r="D162" s="17"/>
      <c r="E162" s="17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0" customHeight="1">
      <c r="A163" s="2"/>
      <c r="B163" s="17"/>
      <c r="C163" s="17"/>
      <c r="D163" s="17"/>
      <c r="E163" s="17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0" customHeight="1">
      <c r="A164" s="2"/>
      <c r="B164" s="17"/>
      <c r="C164" s="17"/>
      <c r="D164" s="17"/>
      <c r="E164" s="17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0" customHeight="1">
      <c r="A165" s="2"/>
      <c r="B165" s="17"/>
      <c r="C165" s="17"/>
      <c r="D165" s="17"/>
      <c r="E165" s="17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0" customHeight="1">
      <c r="A166" s="2"/>
      <c r="B166" s="17"/>
      <c r="C166" s="17"/>
      <c r="D166" s="17"/>
      <c r="E166" s="17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0" customHeight="1">
      <c r="A167" s="2"/>
      <c r="B167" s="17"/>
      <c r="C167" s="17"/>
      <c r="D167" s="17"/>
      <c r="E167" s="17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0" customHeight="1">
      <c r="A168" s="2"/>
      <c r="B168" s="17"/>
      <c r="C168" s="17"/>
      <c r="D168" s="17"/>
      <c r="E168" s="17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0" customHeight="1">
      <c r="A169" s="2"/>
      <c r="B169" s="17"/>
      <c r="C169" s="17"/>
      <c r="D169" s="17"/>
      <c r="E169" s="17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0" customHeight="1">
      <c r="A170" s="2"/>
      <c r="B170" s="17"/>
      <c r="C170" s="17"/>
      <c r="D170" s="17"/>
      <c r="E170" s="17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0" customHeight="1">
      <c r="A171" s="2"/>
      <c r="B171" s="17"/>
      <c r="C171" s="17"/>
      <c r="D171" s="17"/>
      <c r="E171" s="17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0" customHeight="1">
      <c r="A172" s="2"/>
      <c r="B172" s="17"/>
      <c r="C172" s="17"/>
      <c r="D172" s="17"/>
      <c r="E172" s="17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0" customHeight="1">
      <c r="A173" s="2"/>
      <c r="B173" s="17"/>
      <c r="C173" s="17"/>
      <c r="D173" s="17"/>
      <c r="E173" s="17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0" customHeight="1">
      <c r="A174" s="2"/>
      <c r="B174" s="17"/>
      <c r="C174" s="17"/>
      <c r="D174" s="17"/>
      <c r="E174" s="17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0" customHeight="1">
      <c r="A175" s="2"/>
      <c r="B175" s="17"/>
      <c r="C175" s="17"/>
      <c r="D175" s="17"/>
      <c r="E175" s="17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0" customHeight="1">
      <c r="A176" s="2"/>
      <c r="B176" s="17"/>
      <c r="C176" s="17"/>
      <c r="D176" s="17"/>
      <c r="E176" s="17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0" customHeight="1">
      <c r="A177" s="2"/>
      <c r="B177" s="17"/>
      <c r="C177" s="17"/>
      <c r="D177" s="17"/>
      <c r="E177" s="17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0" customHeight="1">
      <c r="A178" s="2"/>
      <c r="B178" s="17"/>
      <c r="C178" s="17"/>
      <c r="D178" s="17"/>
      <c r="E178" s="17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0" customHeight="1">
      <c r="A179" s="2"/>
      <c r="B179" s="17"/>
      <c r="C179" s="17"/>
      <c r="D179" s="17"/>
      <c r="E179" s="17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0" customHeight="1">
      <c r="A180" s="2"/>
      <c r="B180" s="17"/>
      <c r="C180" s="17"/>
      <c r="D180" s="17"/>
      <c r="E180" s="17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0" customHeight="1">
      <c r="A181" s="2"/>
      <c r="B181" s="17"/>
      <c r="C181" s="17"/>
      <c r="D181" s="17"/>
      <c r="E181" s="17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0" customHeight="1">
      <c r="A182" s="2"/>
      <c r="B182" s="17"/>
      <c r="C182" s="17"/>
      <c r="D182" s="17"/>
      <c r="E182" s="17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0" customHeight="1">
      <c r="A183" s="2"/>
      <c r="B183" s="17"/>
      <c r="C183" s="17"/>
      <c r="D183" s="17"/>
      <c r="E183" s="17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0" customHeight="1">
      <c r="A184" s="2"/>
      <c r="B184" s="17"/>
      <c r="C184" s="17"/>
      <c r="D184" s="17"/>
      <c r="E184" s="17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0" customHeight="1">
      <c r="A185" s="2"/>
      <c r="B185" s="17"/>
      <c r="C185" s="17"/>
      <c r="D185" s="17"/>
      <c r="E185" s="17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0" customHeight="1">
      <c r="A186" s="2"/>
      <c r="B186" s="17"/>
      <c r="C186" s="17"/>
      <c r="D186" s="17"/>
      <c r="E186" s="17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0" customHeight="1">
      <c r="A187" s="2"/>
      <c r="B187" s="17"/>
      <c r="C187" s="17"/>
      <c r="D187" s="17"/>
      <c r="E187" s="17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0" customHeight="1">
      <c r="A188" s="2"/>
      <c r="B188" s="17"/>
      <c r="C188" s="17"/>
      <c r="D188" s="17"/>
      <c r="E188" s="17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0" customHeight="1">
      <c r="A189" s="2"/>
      <c r="B189" s="17"/>
      <c r="C189" s="17"/>
      <c r="D189" s="17"/>
      <c r="E189" s="17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0" customHeight="1">
      <c r="A190" s="2"/>
      <c r="B190" s="17"/>
      <c r="C190" s="17"/>
      <c r="D190" s="17"/>
      <c r="E190" s="17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0" customHeight="1">
      <c r="A191" s="2"/>
      <c r="B191" s="17"/>
      <c r="C191" s="17"/>
      <c r="D191" s="17"/>
      <c r="E191" s="17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0" customHeight="1">
      <c r="A192" s="2"/>
      <c r="B192" s="17"/>
      <c r="C192" s="17"/>
      <c r="D192" s="17"/>
      <c r="E192" s="17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0" customHeight="1">
      <c r="A193" s="2"/>
      <c r="B193" s="17"/>
      <c r="C193" s="17"/>
      <c r="D193" s="17"/>
      <c r="E193" s="17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0" customHeight="1">
      <c r="A194" s="2"/>
      <c r="B194" s="17"/>
      <c r="C194" s="17"/>
      <c r="D194" s="17"/>
      <c r="E194" s="17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0" customHeight="1">
      <c r="A195" s="2"/>
      <c r="B195" s="17"/>
      <c r="C195" s="17"/>
      <c r="D195" s="17"/>
      <c r="E195" s="17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0" customHeight="1">
      <c r="A196" s="2"/>
      <c r="B196" s="17"/>
      <c r="C196" s="17"/>
      <c r="D196" s="17"/>
      <c r="E196" s="17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0" customHeight="1">
      <c r="A197" s="2"/>
      <c r="B197" s="17"/>
      <c r="C197" s="17"/>
      <c r="D197" s="17"/>
      <c r="E197" s="17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0" customHeight="1">
      <c r="A198" s="2"/>
      <c r="B198" s="17"/>
      <c r="C198" s="17"/>
      <c r="D198" s="17"/>
      <c r="E198" s="17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0" customHeight="1">
      <c r="A199" s="2"/>
      <c r="B199" s="17"/>
      <c r="C199" s="17"/>
      <c r="D199" s="17"/>
      <c r="E199" s="17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0" customHeight="1">
      <c r="A200" s="2"/>
      <c r="B200" s="17"/>
      <c r="C200" s="17"/>
      <c r="D200" s="17"/>
      <c r="E200" s="17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0" customHeight="1">
      <c r="A201" s="2"/>
      <c r="B201" s="17"/>
      <c r="C201" s="17"/>
      <c r="D201" s="17"/>
      <c r="E201" s="17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0" customHeight="1">
      <c r="A202" s="2"/>
      <c r="B202" s="17"/>
      <c r="C202" s="17"/>
      <c r="D202" s="17"/>
      <c r="E202" s="17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0" customHeight="1">
      <c r="A203" s="2"/>
      <c r="B203" s="17"/>
      <c r="C203" s="17"/>
      <c r="D203" s="17"/>
      <c r="E203" s="17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0" customHeight="1">
      <c r="A204" s="2"/>
      <c r="B204" s="17"/>
      <c r="C204" s="17"/>
      <c r="D204" s="17"/>
      <c r="E204" s="17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0" customHeight="1">
      <c r="A205" s="2"/>
      <c r="B205" s="17"/>
      <c r="C205" s="17"/>
      <c r="D205" s="17"/>
      <c r="E205" s="17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0" customHeight="1">
      <c r="A206" s="2"/>
      <c r="B206" s="17"/>
      <c r="C206" s="17"/>
      <c r="D206" s="17"/>
      <c r="E206" s="17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0" customHeight="1">
      <c r="A207" s="2"/>
      <c r="B207" s="17"/>
      <c r="C207" s="17"/>
      <c r="D207" s="17"/>
      <c r="E207" s="17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0" customHeight="1">
      <c r="A208" s="2"/>
      <c r="B208" s="17"/>
      <c r="C208" s="17"/>
      <c r="D208" s="17"/>
      <c r="E208" s="17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0" customHeight="1">
      <c r="A209" s="2"/>
      <c r="B209" s="17"/>
      <c r="C209" s="17"/>
      <c r="D209" s="17"/>
      <c r="E209" s="17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0" customHeight="1">
      <c r="A210" s="2"/>
      <c r="B210" s="17"/>
      <c r="C210" s="17"/>
      <c r="D210" s="17"/>
      <c r="E210" s="17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0" customHeight="1">
      <c r="A211" s="2"/>
      <c r="B211" s="17"/>
      <c r="C211" s="17"/>
      <c r="D211" s="17"/>
      <c r="E211" s="17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0" customHeight="1">
      <c r="A212" s="2"/>
      <c r="B212" s="17"/>
      <c r="C212" s="17"/>
      <c r="D212" s="17"/>
      <c r="E212" s="17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0" customHeight="1">
      <c r="A213" s="2"/>
      <c r="B213" s="17"/>
      <c r="C213" s="17"/>
      <c r="D213" s="17"/>
      <c r="E213" s="17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0" customHeight="1">
      <c r="A214" s="2"/>
      <c r="B214" s="17"/>
      <c r="C214" s="17"/>
      <c r="D214" s="17"/>
      <c r="E214" s="17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0" customHeight="1">
      <c r="A215" s="2"/>
      <c r="B215" s="17"/>
      <c r="C215" s="17"/>
      <c r="D215" s="17"/>
      <c r="E215" s="17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0" customHeight="1">
      <c r="A216" s="2"/>
      <c r="B216" s="17"/>
      <c r="C216" s="17"/>
      <c r="D216" s="17"/>
      <c r="E216" s="17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0" customHeight="1">
      <c r="A217" s="2"/>
      <c r="B217" s="17"/>
      <c r="C217" s="17"/>
      <c r="D217" s="17"/>
      <c r="E217" s="17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0" customHeight="1">
      <c r="A218" s="2"/>
      <c r="B218" s="17"/>
      <c r="C218" s="17"/>
      <c r="D218" s="17"/>
      <c r="E218" s="17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0" customHeight="1">
      <c r="A219" s="2"/>
      <c r="B219" s="17"/>
      <c r="C219" s="17"/>
      <c r="D219" s="17"/>
      <c r="E219" s="17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0" customHeight="1">
      <c r="A220" s="2"/>
      <c r="B220" s="17"/>
      <c r="C220" s="17"/>
      <c r="D220" s="17"/>
      <c r="E220" s="17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0" customHeight="1">
      <c r="A221" s="2"/>
      <c r="B221" s="17"/>
      <c r="C221" s="17"/>
      <c r="D221" s="17"/>
      <c r="E221" s="17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0" customHeight="1">
      <c r="A222" s="2"/>
      <c r="B222" s="17"/>
      <c r="C222" s="17"/>
      <c r="D222" s="17"/>
      <c r="E222" s="17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0" customHeight="1">
      <c r="A223" s="2"/>
      <c r="B223" s="17"/>
      <c r="C223" s="17"/>
      <c r="D223" s="17"/>
      <c r="E223" s="17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0" customHeight="1">
      <c r="A224" s="2"/>
      <c r="B224" s="17"/>
      <c r="C224" s="17"/>
      <c r="D224" s="17"/>
      <c r="E224" s="17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0" customHeight="1">
      <c r="A225" s="2"/>
      <c r="B225" s="17"/>
      <c r="C225" s="17"/>
      <c r="D225" s="17"/>
      <c r="E225" s="17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0" customHeight="1">
      <c r="A226" s="2"/>
      <c r="B226" s="17"/>
      <c r="C226" s="17"/>
      <c r="D226" s="17"/>
      <c r="E226" s="17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0" customHeight="1">
      <c r="A227" s="2"/>
      <c r="B227" s="17"/>
      <c r="C227" s="17"/>
      <c r="D227" s="17"/>
      <c r="E227" s="17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0" customHeight="1">
      <c r="A228" s="2"/>
      <c r="B228" s="17"/>
      <c r="C228" s="17"/>
      <c r="D228" s="17"/>
      <c r="E228" s="17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8.0" customHeight="1">
      <c r="A229" s="2"/>
      <c r="B229" s="17"/>
      <c r="C229" s="17"/>
      <c r="D229" s="17"/>
      <c r="E229" s="17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8.0" customHeight="1">
      <c r="A230" s="2"/>
      <c r="B230" s="17"/>
      <c r="C230" s="17"/>
      <c r="D230" s="17"/>
      <c r="E230" s="17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8.0" customHeight="1">
      <c r="A231" s="2"/>
      <c r="B231" s="17"/>
      <c r="C231" s="17"/>
      <c r="D231" s="17"/>
      <c r="E231" s="17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8.0" customHeight="1">
      <c r="A232" s="2"/>
      <c r="B232" s="17"/>
      <c r="C232" s="17"/>
      <c r="D232" s="17"/>
      <c r="E232" s="17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7">
    <mergeCell ref="E3:E4"/>
    <mergeCell ref="E5:E11"/>
    <mergeCell ref="E12:E15"/>
    <mergeCell ref="E16:E19"/>
    <mergeCell ref="E20:E23"/>
    <mergeCell ref="E24:E26"/>
    <mergeCell ref="J26:J2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2025-10-01T19:39:08Z</dcterms:created>
  <dc:creator>Carlos Peralta Gutierrez</dc:creator>
</cp:coreProperties>
</file>
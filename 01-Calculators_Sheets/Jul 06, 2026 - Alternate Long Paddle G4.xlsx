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Jul 06" sheetId="1" r:id="rId4"/>
    <sheet state="visible" name="Team Snap" sheetId="2" r:id="rId5"/>
    <sheet state="hidden" name="Tank" sheetId="3" r:id="rId6"/>
  </sheets>
  <definedNames>
    <definedName hidden="1" localSheetId="1" name="_xlnm._FilterDatabase">'Team Snap'!$L$147:$Q$215</definedName>
  </definedNames>
  <calcPr/>
  <extLst>
    <ext uri="GoogleSheetsCustomDataVersion2">
      <go:sheetsCustomData xmlns:go="http://customooxmlschemas.google.com/" r:id="rId7" roundtripDataChecksum="HMQLPe4VLXC3NUiU6Cf3VAQJnmpyvr7A83xvCq9nBxI="/>
    </ext>
  </extLst>
</workbook>
</file>

<file path=xl/sharedStrings.xml><?xml version="1.0" encoding="utf-8"?>
<sst xmlns="http://schemas.openxmlformats.org/spreadsheetml/2006/main" count="1049" uniqueCount="353">
  <si>
    <t>Practice Plan 15: June 1st Rec-team</t>
  </si>
  <si>
    <t>June-1st</t>
  </si>
  <si>
    <t>Practice: The Over-Under</t>
  </si>
  <si>
    <t>Type</t>
  </si>
  <si>
    <t>Comments</t>
  </si>
  <si>
    <t>Minutes</t>
  </si>
  <si>
    <t>Notes</t>
  </si>
  <si>
    <t>Warm up</t>
  </si>
  <si>
    <t>"type": 0</t>
  </si>
  <si>
    <t>min</t>
  </si>
  <si>
    <t>G4-Warm Up</t>
  </si>
  <si>
    <t>"type": 2</t>
  </si>
  <si>
    <t>Rest - Explain PP</t>
  </si>
  <si>
    <t>"type": 1</t>
  </si>
  <si>
    <t>Starts Drill</t>
  </si>
  <si>
    <t xml:space="preserve">Rest </t>
  </si>
  <si>
    <t>Endurance</t>
  </si>
  <si>
    <t>sets</t>
  </si>
  <si>
    <t>Timing</t>
  </si>
  <si>
    <t>G6-1K</t>
  </si>
  <si>
    <t>Feel presure on lats at catch</t>
  </si>
  <si>
    <t>G7-500m</t>
  </si>
  <si>
    <t>G5-2k</t>
  </si>
  <si>
    <t>Rest</t>
  </si>
  <si>
    <t>G4</t>
  </si>
  <si>
    <t>G5</t>
  </si>
  <si>
    <t>G6</t>
  </si>
  <si>
    <t>G7</t>
  </si>
  <si>
    <t>G8</t>
  </si>
  <si>
    <t>Drills</t>
  </si>
  <si>
    <t>sec</t>
  </si>
  <si>
    <t>Rest-before tabata</t>
  </si>
  <si>
    <t>Tabata</t>
  </si>
  <si>
    <t>G10</t>
  </si>
  <si>
    <t>Rest in between</t>
  </si>
  <si>
    <t>Rest 10 to 8 min</t>
  </si>
  <si>
    <t>Cooldown</t>
  </si>
  <si>
    <t>Sectionals</t>
  </si>
  <si>
    <t>G0</t>
  </si>
  <si>
    <t>Summary Jun 22th:</t>
  </si>
  <si>
    <t xml:space="preserve">
Cycle 1:
2' @ G7 straight, rest only while ther boat glides as it truns and go again (4 times)  (108 strokes?)
 + 10' Drills
Cycle 2:
1' @ G8 straight (buld up in 15 strokes after turn), rest only while ther boat glides as it truns and go again (4 times), 10 min Rest and repeat.  
2x [4 x (1' @ G8 -Turn after 30")/ 3'R] 10'R
(56 strokes?)
</t>
  </si>
  <si>
    <t>Practice Plan 2: Alternate Performance (Small boat)</t>
  </si>
  <si>
    <t>Practice: FullB-9minTran</t>
  </si>
  <si>
    <t>4'Rest</t>
  </si>
  <si>
    <t>W1</t>
  </si>
  <si>
    <t>G6-7</t>
  </si>
  <si>
    <t>Starts Drills</t>
  </si>
  <si>
    <t>W2</t>
  </si>
  <si>
    <t>@G4-G5</t>
  </si>
  <si>
    <t>Bench by Bench</t>
  </si>
  <si>
    <t>W3</t>
  </si>
  <si>
    <t>rest</t>
  </si>
  <si>
    <t>Summary Performance:</t>
  </si>
  <si>
    <t>-4x (3'@G6/2'R, 2'@G7/4'R)
-3x 200m(1st@G8, 2nd@G7,3rd @G8)/ 4'R
-2x 1K w/turn @G5 / 4'R
I am thinking warm up, 1/2 hour of starts, 
35 minutes of 5' on 2' off gears 4&amp;5, 
seat by seat and single paddler paddling, 
and cool down.  
the seat by seat and single paddling will be stuck in the middle of the 5' on 2' off pieces.</t>
  </si>
  <si>
    <t>Practice Plan 2: Alternate Long Paddle G4</t>
  </si>
  <si>
    <t>G4-4.5</t>
  </si>
  <si>
    <t>G4-4.5-Full &amp; Sectionals</t>
  </si>
  <si>
    <t>Inspiration examples</t>
  </si>
  <si>
    <t>[7:59 AM, 12/20/2025] Brenda Arndt: 
Saturday morning tank practice
warm up
technical
45' workout
3x 3' on 3' off Gear 5
2x
1'on30" off gear5
1'on 1' off gear6
1' on3' off gear7
3x1' on 4' off gear8
[9:50 AM, 1/5/2026] Brenda Arndt: A reminder of the gears and what they represent: 5 = 2k race pace
6 = 1K race pace
7= 500 meter race pace 
8= 200 meter race pace
9=100 meter race pace
10= 100% effort (start and finish)
[9:53 AM, 1/5/2026] Brenda Arndt: 
4x(2’on/2’off,4’on, 4’off)
Gear 5.5 - 6
[3:02 PM, 1/7/2026] Brenda Arndt: 
3x(2'on3'off,4'on4'off) 1'off 8x(20"on 10"off)
[3:04 PM, 1/7/2026] Brenda Arndt: 
2' pieces at G6.5 (between 1K and 500 meter race pace.  4'pieces at G6, 20" pieces at G9/10
[3:02 PM, 1/7/2026] Brenda Arndt: 
3x(2'on3'off,4'on4'off) 1'off 8x(20"on10"off)
[1:19 PM, 1/10/2026] Brenda Arndt: 
Todays tank workout = 4x(2'@G6,3'r,4'@G5,4'r)  gear 6 = 1k race pace gear 5 = 2k race pace
[2:24 PM, 1/19/2026] Brenda Arndt: 
Tonight's tank 2x2'30"@g5,3'R,1'@g6,2'r  additional 3'rest then   2x 2'30"@g7,5'r,1'@g9,3'r
[2:26 PM, 1/19/2026] Brenda Arndt: 
in other words an easy 2 sets of 21/2 minutes at 2k race pace and 1 minute at 1k race pace, followed by a rest and then a tough set of 2x  500 meter race and 200 meter race at race pace.
Carlos 26 01, 2026 
Gym: 3 x 8-10 reps
- Bench Press
- Bench Pull
- Lateral Rises
- Skull Crushers 
- Close Grip Lat Pulldown
- Hammer Curls
Superset abs exercises 
Russian Twist
Sit Up w/ weight   
3x(5'@G5/3'R + 3'@G6/4'R)   Transition 4'off - 8x(20"on 10"off) = 4'</t>
  </si>
  <si>
    <r>
      <rPr>
        <rFont val="Calibri"/>
        <b/>
        <color rgb="FF1155CC"/>
        <sz val="11.0"/>
        <u/>
      </rPr>
      <t>Canal Dragons Performance &amp; Rec</t>
    </r>
    <r>
      <rPr>
        <rFont val="Calibri"/>
        <b/>
        <color rgb="FF0563C1"/>
        <sz val="11.0"/>
        <u/>
      </rPr>
      <t xml:space="preserve">
Mon, 1 5 Jun, 2026 6:30 PM</t>
    </r>
  </si>
  <si>
    <r>
      <rPr>
        <rFont val="Calibri"/>
        <b/>
        <color rgb="FF1155CC"/>
        <sz val="11.0"/>
        <u/>
      </rPr>
      <t>Performance and Recreational Practice</t>
    </r>
    <r>
      <rPr>
        <rFont val="Calibri"/>
        <b/>
        <sz val="11.0"/>
      </rPr>
      <t xml:space="preserve">
Wed, 3 Jun, 2026 6:30 PM</t>
    </r>
  </si>
  <si>
    <r>
      <rPr>
        <rFont val="Calibri"/>
        <b/>
        <color rgb="FF1155CC"/>
        <sz val="11.0"/>
        <u/>
      </rPr>
      <t>Leisure Paddle</t>
    </r>
    <r>
      <rPr>
        <rFont val="Calibri"/>
        <b/>
        <sz val="11.0"/>
      </rPr>
      <t xml:space="preserve">
Thu, 4 Jun, 2026 10:00 AM</t>
    </r>
  </si>
  <si>
    <r>
      <rPr>
        <rFont val="Calibri"/>
        <b/>
        <color rgb="FF1155CC"/>
        <sz val="11.0"/>
        <u/>
      </rPr>
      <t>Learn to Paddle</t>
    </r>
    <r>
      <rPr>
        <rFont val="Calibri"/>
        <b/>
        <sz val="11.0"/>
      </rPr>
      <t xml:space="preserve">
Sat, 6 Jun, 2026 10:00 AM</t>
    </r>
  </si>
  <si>
    <r>
      <rPr>
        <rFont val="Calibri"/>
        <b/>
        <color rgb="FF1155CC"/>
        <sz val="11.0"/>
        <u/>
      </rPr>
      <t>Learn to Paddle</t>
    </r>
    <r>
      <rPr>
        <rFont val="Calibri"/>
        <b/>
        <sz val="11.0"/>
      </rPr>
      <t xml:space="preserve">
Sat, 6 Jun, 2026 11:30 AM</t>
    </r>
  </si>
  <si>
    <t>Y</t>
  </si>
  <si>
    <t>C</t>
  </si>
  <si>
    <t>Positions</t>
  </si>
  <si>
    <t>Attendance</t>
  </si>
  <si>
    <t>2M/10W</t>
  </si>
  <si>
    <t>2M/11W</t>
  </si>
  <si>
    <t>0M/1W</t>
  </si>
  <si>
    <t>1M/4W</t>
  </si>
  <si>
    <t>0M/2W</t>
  </si>
  <si>
    <t>Player</t>
  </si>
  <si>
    <t>Canal Dragons Performance &amp; RecMon, 8 Jun, 2026 6:30 PM</t>
  </si>
  <si>
    <t>Performance and Recreational PracticeWed, 10 Jun, 2026 6:30 PM</t>
  </si>
  <si>
    <t>Leisure PaddleThu, 11 Jun, 2026 10:00 AM</t>
  </si>
  <si>
    <t>Long Paddle - Club and CommunityFri, 12 Jun, 2026 6:30 PM</t>
  </si>
  <si>
    <t>Canal Dragons Performance &amp; RecMon, 15 Jun, 2026 6:30 PM</t>
  </si>
  <si>
    <t>BL-C</t>
  </si>
  <si>
    <t>Carlos Peralta</t>
  </si>
  <si>
    <t>Yes</t>
  </si>
  <si>
    <t>Maybe</t>
  </si>
  <si>
    <r>
      <rPr>
        <rFont val="&quot;Google Sans Text&quot;, sans-serif !important"/>
        <color rgb="FF1155CC"/>
        <u/>
      </rPr>
      <t>Carlos Peralta</t>
    </r>
  </si>
  <si>
    <t>Amanda Zhang</t>
  </si>
  <si>
    <t>No</t>
  </si>
  <si>
    <r>
      <rPr>
        <rFont val="&quot;Google Sans Text&quot;, sans-serif !important"/>
        <color rgb="FF1155CC"/>
        <u/>
      </rPr>
      <t>Amanda Zhang</t>
    </r>
  </si>
  <si>
    <t>Ann Marotta</t>
  </si>
  <si>
    <r>
      <rPr>
        <rFont val="&quot;Google Sans Text&quot;, sans-serif !important"/>
        <color rgb="FF1155CC"/>
        <u/>
      </rPr>
      <t>Ann Marotta</t>
    </r>
  </si>
  <si>
    <t>R</t>
  </si>
  <si>
    <t>Ann Reid</t>
  </si>
  <si>
    <r>
      <rPr>
        <rFont val="&quot;Google Sans Text&quot;, sans-serif !important"/>
        <color rgb="FF1155CC"/>
        <u/>
      </rPr>
      <t>Ann Reid</t>
    </r>
  </si>
  <si>
    <t>Anna Kuhar</t>
  </si>
  <si>
    <t>9R</t>
  </si>
  <si>
    <r>
      <rPr>
        <rFont val="&quot;Google Sans Text&quot;, sans-serif !important"/>
        <color rgb="FF1155CC"/>
        <u/>
      </rPr>
      <t>Anna Kuhar</t>
    </r>
  </si>
  <si>
    <t>Barb Gahn</t>
  </si>
  <si>
    <t>s</t>
  </si>
  <si>
    <t>S 2R</t>
  </si>
  <si>
    <r>
      <rPr>
        <rFont val="&quot;Google Sans Text&quot;, sans-serif !important"/>
        <color rgb="FF1155CC"/>
        <u/>
      </rPr>
      <t>Barb Gahn</t>
    </r>
  </si>
  <si>
    <t>Small</t>
  </si>
  <si>
    <t>Bernita Arndt</t>
  </si>
  <si>
    <r>
      <rPr>
        <rFont val="&quot;Google Sans Text&quot;, sans-serif !important"/>
        <color rgb="FF1155CC"/>
        <u/>
      </rPr>
      <t>Bernita Arndt</t>
    </r>
  </si>
  <si>
    <t>Bobbi Babcock</t>
  </si>
  <si>
    <r>
      <rPr>
        <rFont val="&quot;Google Sans Text&quot;, sans-serif !important"/>
        <color rgb="FF1155CC"/>
        <u/>
      </rPr>
      <t>Bobbi Babcock</t>
    </r>
  </si>
  <si>
    <t>Brenda Arndt</t>
  </si>
  <si>
    <r>
      <rPr>
        <rFont val="&quot;Google Sans Text&quot;, sans-serif !important"/>
        <color rgb="FF1155CC"/>
        <u/>
      </rPr>
      <t>Brenda Arndt</t>
    </r>
  </si>
  <si>
    <t>Carrie Ann Terry</t>
  </si>
  <si>
    <r>
      <rPr>
        <rFont val="&quot;Google Sans Text&quot;, sans-serif !important"/>
        <color rgb="FF1155CC"/>
        <u/>
      </rPr>
      <t>Carrie Ann Terry</t>
    </r>
  </si>
  <si>
    <t>Cathy Uskin</t>
  </si>
  <si>
    <t>4r</t>
  </si>
  <si>
    <r>
      <rPr>
        <rFont val="&quot;Google Sans Text&quot;, sans-serif !important"/>
        <color rgb="FF1155CC"/>
        <u/>
      </rPr>
      <t>Cathy Uskin</t>
    </r>
  </si>
  <si>
    <t>Christina Bowman</t>
  </si>
  <si>
    <r>
      <rPr>
        <rFont val="&quot;Google Sans Text&quot;, sans-serif !important"/>
        <color rgb="FF1155CC"/>
        <u/>
      </rPr>
      <t>Christina Bowman</t>
    </r>
  </si>
  <si>
    <t>Christine Vaskovics</t>
  </si>
  <si>
    <r>
      <rPr>
        <rFont val="&quot;Google Sans Text&quot;, sans-serif !important"/>
        <color rgb="FF1155CC"/>
        <u/>
      </rPr>
      <t>Christine Vaskovics</t>
    </r>
  </si>
  <si>
    <t>Collin Bell</t>
  </si>
  <si>
    <r>
      <rPr>
        <rFont val="&quot;Google Sans Text&quot;, sans-serif !important"/>
        <color rgb="FF1155CC"/>
        <u/>
      </rPr>
      <t>Collin Bell</t>
    </r>
  </si>
  <si>
    <t>Elton Kemp</t>
  </si>
  <si>
    <r>
      <rPr>
        <rFont val="&quot;Google Sans Text&quot;, sans-serif !important"/>
        <color rgb="FF1155CC"/>
        <u/>
      </rPr>
      <t>Elton Kemp</t>
    </r>
  </si>
  <si>
    <t>L</t>
  </si>
  <si>
    <t>Gillian Shriner</t>
  </si>
  <si>
    <r>
      <rPr>
        <rFont val="&quot;Google Sans Text&quot;, sans-serif !important"/>
        <color rgb="FF1155CC"/>
        <u/>
      </rPr>
      <t>Gillian Shriner</t>
    </r>
  </si>
  <si>
    <t>Hannah Corrado</t>
  </si>
  <si>
    <r>
      <rPr>
        <rFont val="&quot;Google Sans Text&quot;, sans-serif !important"/>
        <color rgb="FF1155CC"/>
        <u/>
      </rPr>
      <t>Hannah Corrado</t>
    </r>
  </si>
  <si>
    <t>Heather Denoncourt</t>
  </si>
  <si>
    <r>
      <rPr>
        <rFont val="&quot;Google Sans Text&quot;, sans-serif !important"/>
        <color rgb="FF1155CC"/>
        <u/>
      </rPr>
      <t>Heather Denoncourt</t>
    </r>
  </si>
  <si>
    <t>Morgan</t>
  </si>
  <si>
    <t>Heather Fairley</t>
  </si>
  <si>
    <t>7L</t>
  </si>
  <si>
    <r>
      <rPr>
        <rFont val="&quot;Google Sans Text&quot;, sans-serif !important"/>
        <color rgb="FF1155CC"/>
        <u/>
      </rPr>
      <t>Heather Fairley</t>
    </r>
  </si>
  <si>
    <t>Jacques Bourdeu</t>
  </si>
  <si>
    <r>
      <rPr>
        <rFont val="&quot;Google Sans Text&quot;, sans-serif !important"/>
        <color rgb="FF1155CC"/>
        <u/>
      </rPr>
      <t>Jacques Bourdeu</t>
    </r>
  </si>
  <si>
    <t>James MacArthur</t>
  </si>
  <si>
    <t>5L</t>
  </si>
  <si>
    <r>
      <rPr>
        <rFont val="&quot;Google Sans Text&quot;, sans-serif !important"/>
        <color rgb="FF1155CC"/>
        <u/>
      </rPr>
      <t>James MacArthur</t>
    </r>
  </si>
  <si>
    <t>Janet Corbett</t>
  </si>
  <si>
    <r>
      <rPr>
        <rFont val="&quot;Google Sans Text&quot;, sans-serif !important"/>
        <color rgb="FF1155CC"/>
        <u/>
      </rPr>
      <t>Janet Corbett</t>
    </r>
  </si>
  <si>
    <t>Jennifer Boss</t>
  </si>
  <si>
    <r>
      <rPr>
        <rFont val="&quot;Google Sans Text&quot;, sans-serif !important"/>
        <color rgb="FF1155CC"/>
        <u/>
      </rPr>
      <t>Jennifer Boss</t>
    </r>
  </si>
  <si>
    <t>Joanne Boyce</t>
  </si>
  <si>
    <r>
      <rPr>
        <rFont val="&quot;Google Sans Text&quot;, sans-serif !important"/>
        <color rgb="FF1155CC"/>
        <u/>
      </rPr>
      <t>Joanne Boyce</t>
    </r>
  </si>
  <si>
    <t>Julie McPhail</t>
  </si>
  <si>
    <r>
      <rPr>
        <rFont val="&quot;Google Sans Text&quot;, sans-serif !important"/>
        <color rgb="FF1155CC"/>
        <u/>
      </rPr>
      <t>Julie McPhail</t>
    </r>
  </si>
  <si>
    <t>Kari Wright</t>
  </si>
  <si>
    <r>
      <rPr>
        <rFont val="&quot;Google Sans Text&quot;, sans-serif !important"/>
        <color rgb="FF1155CC"/>
        <u/>
      </rPr>
      <t>Kari Wright</t>
    </r>
  </si>
  <si>
    <t>Kathleen Batstone</t>
  </si>
  <si>
    <t>X</t>
  </si>
  <si>
    <r>
      <rPr>
        <rFont val="&quot;Google Sans Text&quot;, sans-serif !important"/>
        <color rgb="FF1155CC"/>
        <u/>
      </rPr>
      <t>Kathleen Batstone</t>
    </r>
  </si>
  <si>
    <t>Kendra Timlock</t>
  </si>
  <si>
    <r>
      <rPr>
        <rFont val="&quot;Google Sans Text&quot;, sans-serif !important"/>
        <color rgb="FF1155CC"/>
        <u/>
      </rPr>
      <t>Kendra Timlock</t>
    </r>
  </si>
  <si>
    <t>Kim Parker</t>
  </si>
  <si>
    <r>
      <rPr>
        <rFont val="&quot;Google Sans Text&quot;, sans-serif !important"/>
        <color rgb="FF1155CC"/>
        <u/>
      </rPr>
      <t>Kim Parker</t>
    </r>
  </si>
  <si>
    <t>Kimberly Irving</t>
  </si>
  <si>
    <r>
      <rPr>
        <rFont val="&quot;Google Sans Text&quot;, sans-serif !important"/>
        <color rgb="FF1155CC"/>
        <u/>
      </rPr>
      <t>Kimberly Irving</t>
    </r>
  </si>
  <si>
    <t>Laura Christian</t>
  </si>
  <si>
    <r>
      <rPr>
        <rFont val="&quot;Google Sans Text&quot;, sans-serif !important"/>
        <color rgb="FF1155CC"/>
        <u/>
      </rPr>
      <t>Laura Christian</t>
    </r>
  </si>
  <si>
    <t>BR</t>
  </si>
  <si>
    <t>Lesley Bray</t>
  </si>
  <si>
    <t>7R</t>
  </si>
  <si>
    <r>
      <rPr>
        <rFont val="&quot;Google Sans Text&quot;, sans-serif !important"/>
        <color rgb="FF1155CC"/>
        <u/>
      </rPr>
      <t>Lesley Bray</t>
    </r>
  </si>
  <si>
    <t>Linda Bell</t>
  </si>
  <si>
    <r>
      <rPr>
        <rFont val="&quot;Google Sans Text&quot;, sans-serif !important"/>
        <color rgb="FF1155CC"/>
        <u/>
      </rPr>
      <t>Linda Bell</t>
    </r>
  </si>
  <si>
    <t>Linda Emslie</t>
  </si>
  <si>
    <r>
      <rPr>
        <rFont val="&quot;Google Sans Text&quot;, sans-serif !important"/>
        <color rgb="FF1155CC"/>
        <u/>
      </rPr>
      <t>Linda Emslie</t>
    </r>
  </si>
  <si>
    <t>Lindsay Glennie</t>
  </si>
  <si>
    <r>
      <rPr>
        <rFont val="&quot;Google Sans Text&quot;, sans-serif !important"/>
        <color rgb="FF1155CC"/>
        <u/>
      </rPr>
      <t>Lindsay Glennie</t>
    </r>
  </si>
  <si>
    <t>Liz Antal</t>
  </si>
  <si>
    <r>
      <rPr>
        <rFont val="&quot;Google Sans Text&quot;, sans-serif !important"/>
        <color rgb="FF1155CC"/>
        <u/>
      </rPr>
      <t>Liz Antal</t>
    </r>
  </si>
  <si>
    <t>Liz Guitard</t>
  </si>
  <si>
    <r>
      <rPr>
        <rFont val="&quot;Google Sans Text&quot;, sans-serif !important"/>
        <color rgb="FF1155CC"/>
        <u/>
      </rPr>
      <t>Liz Guitard</t>
    </r>
  </si>
  <si>
    <t>Lori Dwyer</t>
  </si>
  <si>
    <r>
      <rPr>
        <rFont val="&quot;Google Sans Text&quot;, sans-serif !important"/>
        <color rgb="FF1155CC"/>
        <u/>
      </rPr>
      <t>Lori Dwyer</t>
    </r>
  </si>
  <si>
    <t xml:space="preserve">not </t>
  </si>
  <si>
    <t>Lorna Hilborn</t>
  </si>
  <si>
    <t>s 2L</t>
  </si>
  <si>
    <r>
      <rPr>
        <rFont val="&quot;Google Sans Text&quot;, sans-serif !important"/>
        <color rgb="FF1155CC"/>
        <u/>
      </rPr>
      <t>Lorna Hilborn</t>
    </r>
  </si>
  <si>
    <t>Lynda Lemon</t>
  </si>
  <si>
    <r>
      <rPr>
        <rFont val="&quot;Google Sans Text&quot;, sans-serif !important"/>
        <color rgb="FF1155CC"/>
        <u/>
      </rPr>
      <t>Lynda Lemon</t>
    </r>
  </si>
  <si>
    <t>no</t>
  </si>
  <si>
    <t>SL</t>
  </si>
  <si>
    <t>Margaret Battista</t>
  </si>
  <si>
    <t>S 2L</t>
  </si>
  <si>
    <r>
      <rPr>
        <rFont val="&quot;Google Sans Text&quot;, sans-serif !important"/>
        <color rgb="FF1155CC"/>
        <u/>
      </rPr>
      <t>Margaret Battista</t>
    </r>
  </si>
  <si>
    <t>SR</t>
  </si>
  <si>
    <t>Marge Cruz</t>
  </si>
  <si>
    <t>s 2R</t>
  </si>
  <si>
    <r>
      <rPr>
        <rFont val="&quot;Google Sans Text&quot;, sans-serif !important"/>
        <color rgb="FF1155CC"/>
        <u/>
      </rPr>
      <t>Marge Cruz</t>
    </r>
  </si>
  <si>
    <t>Mario Cruz</t>
  </si>
  <si>
    <t>5R</t>
  </si>
  <si>
    <r>
      <rPr>
        <rFont val="&quot;Google Sans Text&quot;, sans-serif !important"/>
        <color rgb="FF1155CC"/>
        <u/>
      </rPr>
      <t>Mario Cruz</t>
    </r>
  </si>
  <si>
    <t>Marisa Battista</t>
  </si>
  <si>
    <r>
      <rPr>
        <rFont val="&quot;Google Sans Text&quot;, sans-serif !important"/>
        <color rgb="FF1155CC"/>
        <u/>
      </rPr>
      <t>Marisa Battista</t>
    </r>
  </si>
  <si>
    <t>Matthew Terry</t>
  </si>
  <si>
    <r>
      <rPr>
        <rFont val="&quot;Google Sans Text&quot;, sans-serif !important"/>
        <color rgb="FF1155CC"/>
        <u/>
      </rPr>
      <t>Matthew Terry</t>
    </r>
  </si>
  <si>
    <t>Maureen Wheelock</t>
  </si>
  <si>
    <r>
      <rPr>
        <rFont val="&quot;Google Sans Text&quot;, sans-serif !important"/>
        <color rgb="FF1155CC"/>
        <u/>
      </rPr>
      <t>Maureen Wheelock</t>
    </r>
  </si>
  <si>
    <t>Meliss Chue</t>
  </si>
  <si>
    <r>
      <rPr>
        <rFont val="&quot;Google Sans Text&quot;, sans-serif !important"/>
        <color rgb="FF1155CC"/>
        <u/>
      </rPr>
      <t>Meliss Chue</t>
    </r>
  </si>
  <si>
    <t>Mike Christian</t>
  </si>
  <si>
    <r>
      <rPr>
        <rFont val="&quot;Google Sans Text&quot;, sans-serif !important"/>
        <color rgb="FF1155CC"/>
        <u/>
      </rPr>
      <t>Mike Christian</t>
    </r>
  </si>
  <si>
    <t>Morgan Hull</t>
  </si>
  <si>
    <t>Nancy Spies</t>
  </si>
  <si>
    <r>
      <rPr>
        <rFont val="&quot;Google Sans Text&quot;, sans-serif !important"/>
        <color rgb="FF1155CC"/>
        <u/>
      </rPr>
      <t>Nancy Spies</t>
    </r>
  </si>
  <si>
    <t>Nicki Landry</t>
  </si>
  <si>
    <t>9L</t>
  </si>
  <si>
    <r>
      <rPr>
        <rFont val="&quot;Google Sans Text&quot;, sans-serif !important"/>
        <color rgb="FF1155CC"/>
        <u/>
      </rPr>
      <t>Nicki Landry</t>
    </r>
  </si>
  <si>
    <t>Nissa Mcadam</t>
  </si>
  <si>
    <r>
      <rPr>
        <rFont val="&quot;Google Sans Text&quot;, sans-serif !important"/>
        <color rgb="FF1155CC"/>
        <u/>
      </rPr>
      <t>Nissa Mcadam</t>
    </r>
  </si>
  <si>
    <t>Paul Apostolon</t>
  </si>
  <si>
    <r>
      <rPr>
        <rFont val="&quot;Google Sans Text&quot;, sans-serif !important"/>
        <color rgb="FF1155CC"/>
        <u/>
      </rPr>
      <t>Paul Apostolon</t>
    </r>
  </si>
  <si>
    <t>Rachael Holder</t>
  </si>
  <si>
    <r>
      <rPr>
        <rFont val="&quot;Google Sans Text&quot;, sans-serif !important"/>
        <color rgb="FF1155CC"/>
        <u/>
      </rPr>
      <t>Rachael Holder</t>
    </r>
  </si>
  <si>
    <t>BL</t>
  </si>
  <si>
    <t>Sigrid Groetelaars</t>
  </si>
  <si>
    <t>4L</t>
  </si>
  <si>
    <r>
      <rPr>
        <rFont val="&quot;Google Sans Text&quot;, sans-serif !important"/>
        <color rgb="FF1155CC"/>
        <u/>
      </rPr>
      <t>Sigrid Groetelaars</t>
    </r>
  </si>
  <si>
    <t>Stephanie Babin</t>
  </si>
  <si>
    <r>
      <rPr>
        <rFont val="&quot;Google Sans Text&quot;, sans-serif !important"/>
        <color rgb="FF1155CC"/>
        <u/>
      </rPr>
      <t>Stephanie Babin</t>
    </r>
  </si>
  <si>
    <t>Sue McEachern</t>
  </si>
  <si>
    <r>
      <rPr>
        <rFont val="&quot;Google Sans Text&quot;, sans-serif !important"/>
        <color rgb="FF1155CC"/>
        <u/>
      </rPr>
      <t>Sue McEachern</t>
    </r>
  </si>
  <si>
    <t>Tammy OHara</t>
  </si>
  <si>
    <r>
      <rPr>
        <rFont val="&quot;Google Sans Text&quot;, sans-serif !important"/>
        <color rgb="FF1155CC"/>
        <u/>
      </rPr>
      <t>Tammy OHara</t>
    </r>
  </si>
  <si>
    <t>Tania Cookson</t>
  </si>
  <si>
    <r>
      <rPr>
        <rFont val="&quot;Google Sans Text&quot;, sans-serif !important"/>
        <color rgb="FF1155CC"/>
        <u/>
      </rPr>
      <t>Tania Cookson</t>
    </r>
  </si>
  <si>
    <t>Tara McKendrick</t>
  </si>
  <si>
    <r>
      <rPr>
        <rFont val="&quot;Google Sans Text&quot;, sans-serif !important"/>
        <color rgb="FF1155CC"/>
        <u/>
      </rPr>
      <t>Tara McKendrick</t>
    </r>
  </si>
  <si>
    <t>Taylor Wright</t>
  </si>
  <si>
    <r>
      <rPr>
        <rFont val="&quot;Google Sans Text&quot;, sans-serif !important"/>
        <color rgb="FF1155CC"/>
        <u/>
      </rPr>
      <t>Taylor Wright</t>
    </r>
  </si>
  <si>
    <t>Tim Parker</t>
  </si>
  <si>
    <r>
      <rPr>
        <rFont val="&quot;Google Sans Text&quot;, sans-serif !important"/>
        <color rgb="FF1155CC"/>
        <u/>
      </rPr>
      <t>Tim Parker</t>
    </r>
  </si>
  <si>
    <t>Trevor David</t>
  </si>
  <si>
    <r>
      <rPr>
        <rFont val="&quot;Google Sans Text&quot;, sans-serif !important"/>
        <color rgb="FF1155CC"/>
        <u/>
      </rPr>
      <t>Trevor David</t>
    </r>
  </si>
  <si>
    <t>Wendy Walton</t>
  </si>
  <si>
    <r>
      <rPr>
        <rFont val="&quot;Google Sans Text&quot;, sans-serif !important"/>
        <color rgb="FF1155CC"/>
        <u/>
      </rPr>
      <t>Wendy Walton</t>
    </r>
  </si>
  <si>
    <t>Yolanda MacArthur</t>
  </si>
  <si>
    <t>Bill Uskin</t>
  </si>
  <si>
    <r>
      <rPr>
        <rFont val="&quot;Google Sans Text&quot;, sans-serif !important"/>
        <color rgb="FF1155CC"/>
        <u/>
      </rPr>
      <t>Yolanda MacArthur</t>
    </r>
  </si>
  <si>
    <t>Players</t>
  </si>
  <si>
    <t>Unknown</t>
  </si>
  <si>
    <t xml:space="preserve">Chico, </t>
  </si>
  <si>
    <t>Diana</t>
  </si>
  <si>
    <t>D1</t>
  </si>
  <si>
    <t>d2</t>
  </si>
  <si>
    <t>yolanda</t>
  </si>
  <si>
    <t>First Name</t>
  </si>
  <si>
    <t>Last Name</t>
  </si>
  <si>
    <t>Carlos</t>
  </si>
  <si>
    <t>Peralta</t>
  </si>
  <si>
    <t>25 confirmed</t>
  </si>
  <si>
    <t>Cathy</t>
  </si>
  <si>
    <t>Uskin</t>
  </si>
  <si>
    <t>2 maybes</t>
  </si>
  <si>
    <t>Gillian</t>
  </si>
  <si>
    <t>Shriner</t>
  </si>
  <si>
    <t>4 New</t>
  </si>
  <si>
    <t>Yolanda's Boat</t>
  </si>
  <si>
    <t>Carlos' Boat</t>
  </si>
  <si>
    <t>James</t>
  </si>
  <si>
    <t>MacArthur</t>
  </si>
  <si>
    <t>Left</t>
  </si>
  <si>
    <t>Right</t>
  </si>
  <si>
    <t>Kathleen</t>
  </si>
  <si>
    <t>Batstone</t>
  </si>
  <si>
    <t>Bench 01</t>
  </si>
  <si>
    <t>Empty</t>
  </si>
  <si>
    <t>Kimberly</t>
  </si>
  <si>
    <t>Irving</t>
  </si>
  <si>
    <t>Bench 02</t>
  </si>
  <si>
    <t>Lindsay</t>
  </si>
  <si>
    <t>Glennie</t>
  </si>
  <si>
    <t>Bench 03</t>
  </si>
  <si>
    <t>Liz</t>
  </si>
  <si>
    <t>Antal</t>
  </si>
  <si>
    <t>Bench 04</t>
  </si>
  <si>
    <t>Margaret</t>
  </si>
  <si>
    <t>Battista</t>
  </si>
  <si>
    <t>Bench 05</t>
  </si>
  <si>
    <t>Marge</t>
  </si>
  <si>
    <t>Cruz</t>
  </si>
  <si>
    <t>Bench 06</t>
  </si>
  <si>
    <t>Mario</t>
  </si>
  <si>
    <t>Bench 07</t>
  </si>
  <si>
    <t>Meliss</t>
  </si>
  <si>
    <t>Chue</t>
  </si>
  <si>
    <t>Bench 08</t>
  </si>
  <si>
    <t>Nicki</t>
  </si>
  <si>
    <t>Landry</t>
  </si>
  <si>
    <t>Bench 09</t>
  </si>
  <si>
    <t>Tara</t>
  </si>
  <si>
    <t>McKendrick</t>
  </si>
  <si>
    <t>Bench 10</t>
  </si>
  <si>
    <t>Yolanda</t>
  </si>
  <si>
    <t>Bill</t>
  </si>
  <si>
    <t>Sustitutions</t>
  </si>
  <si>
    <t>Small Boat</t>
  </si>
  <si>
    <t>Wednesday 17</t>
  </si>
  <si>
    <t>Steer2</t>
  </si>
  <si>
    <t>Steers</t>
  </si>
  <si>
    <t>Carlos &amp; Kendra</t>
  </si>
  <si>
    <t>Joanne Boyce?</t>
  </si>
  <si>
    <t>Player Name</t>
  </si>
  <si>
    <t>Canal Dragons Performance &amp; RecMon, 6 Jul, 2026 6:30 PM</t>
  </si>
  <si>
    <t>Performance and Recreational PracticeWed, 8 Jul, 2026 6:30 PM</t>
  </si>
  <si>
    <t>Leisure PaddleThu, 9 Jul, 2026 10:00 AM</t>
  </si>
  <si>
    <t>Volunteers for Special Needs DBFri, 10 Jul, 2026 6:30 PM</t>
  </si>
  <si>
    <t>Canal Dragons Performance &amp; RecMon, 13 Jul, 2026 6:30 PM</t>
  </si>
  <si>
    <t>Dilek Dalar</t>
  </si>
  <si>
    <t>Emily Deiter</t>
  </si>
  <si>
    <t>Hasan Dalar</t>
  </si>
  <si>
    <t>Melissa Chue</t>
  </si>
  <si>
    <t>Michele Taylor-Vaughan</t>
  </si>
  <si>
    <t>William Mutch</t>
  </si>
  <si>
    <t>Total Yes</t>
  </si>
  <si>
    <t>Total No</t>
  </si>
  <si>
    <t>Total Maybe</t>
  </si>
  <si>
    <t>Total Blanks</t>
  </si>
  <si>
    <t>Portal Expected</t>
  </si>
  <si>
    <t>Validation Check</t>
  </si>
  <si>
    <t>MATCH</t>
  </si>
  <si>
    <t>Sets/Reps</t>
  </si>
  <si>
    <t>Time On</t>
  </si>
  <si>
    <t>Gear</t>
  </si>
  <si>
    <t>Tank Speed</t>
  </si>
  <si>
    <t>Time</t>
  </si>
  <si>
    <t>2 minutes</t>
  </si>
  <si>
    <t>Explain practice plan</t>
  </si>
  <si>
    <t>Off</t>
  </si>
  <si>
    <t>Drill</t>
  </si>
  <si>
    <t>5 minutes</t>
  </si>
  <si>
    <t>UP, Reach, Catch, Pull,</t>
  </si>
  <si>
    <t>4 minutes</t>
  </si>
  <si>
    <t>G1 2km Race Pace</t>
  </si>
  <si>
    <t>10 - 10.9</t>
  </si>
  <si>
    <t>Leading leg</t>
  </si>
  <si>
    <t>Catch</t>
  </si>
  <si>
    <t>3 minutes</t>
  </si>
  <si>
    <t>90 seconds</t>
  </si>
  <si>
    <t>Straight arms</t>
  </si>
  <si>
    <t>Stretch - water</t>
  </si>
  <si>
    <t>11 - 11.9</t>
  </si>
  <si>
    <t>G2 1km Race Pace</t>
  </si>
  <si>
    <t>1 minute</t>
  </si>
  <si>
    <t>Hip thrust</t>
  </si>
  <si>
    <t>Break wrist and elbow out</t>
  </si>
  <si>
    <t>12 - 12.9</t>
  </si>
  <si>
    <t>G3 500m Race Pace</t>
  </si>
  <si>
    <t xml:space="preserve">Transition form fast to slow </t>
  </si>
  <si>
    <t>Consistency team work</t>
  </si>
  <si>
    <t xml:space="preserve">Breathing </t>
  </si>
  <si>
    <t>1 minutes</t>
  </si>
  <si>
    <t>G -1 Cooldown</t>
  </si>
  <si>
    <t>G4 200m Race</t>
  </si>
  <si>
    <t xml:space="preserve">2x 4’on2’off G1
2x 3’on 90”off G1
2x 2’on1’ off g2
2x 1’ on 3’off g3
------------  31 min
2x 2’on1’ off g2
1x 4’on2’off G1
1x 1’ 200m Race
+13min----- 44 min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</si>
</sst>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"/>
  </numFmts>
  <fonts count="31">
    <font>
      <sz val="11.0"/>
      <color theme="1"/>
      <name val="Calibri"/>
      <scheme val="minor"/>
    </font>
    <font>
      <b/>
      <sz val="16.0"/>
      <color rgb="FF6D9EEB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  <font>
      <b/>
      <sz val="16.0"/>
      <color theme="1"/>
      <name val="Calibri"/>
    </font>
    <font>
      <b/>
      <sz val="16.0"/>
      <color rgb="FF0000FF"/>
      <name val="Calibri"/>
    </font>
    <font>
      <b/>
      <u/>
      <sz val="11.0"/>
      <color rgb="FF0000FF"/>
      <name val="Open Sans"/>
    </font>
    <font>
      <b/>
      <sz val="11.0"/>
      <color rgb="FF383838"/>
      <name val="Open Sans"/>
    </font>
    <font>
      <color rgb="FF1F1F1F"/>
      <name val="Google Sans"/>
    </font>
    <font>
      <sz val="11.0"/>
      <color rgb="FF1F1F1F"/>
      <name val="Open Sans"/>
    </font>
    <font>
      <u/>
      <sz val="11.0"/>
      <color rgb="FF0000FF"/>
      <name val="Arial"/>
    </font>
    <font>
      <sz val="11.0"/>
      <color rgb="FF1F1F1F"/>
      <name val="Google Sans"/>
    </font>
    <font>
      <u/>
      <color rgb="FF0000FF"/>
      <name val="Google Sans"/>
    </font>
    <font>
      <u/>
      <sz val="11.0"/>
      <color rgb="FF0000FF"/>
      <name val="Open Sans"/>
    </font>
    <font>
      <sz val="11.0"/>
      <color theme="1"/>
      <name val="Open Sans"/>
    </font>
    <font>
      <u/>
      <sz val="11.0"/>
      <color rgb="FF0000FF"/>
      <name val="Open Sans"/>
    </font>
    <font>
      <color theme="1"/>
      <name val="Google Sans"/>
    </font>
    <font/>
    <font>
      <sz val="11.0"/>
      <color rgb="FF000000"/>
      <name val="Calibri"/>
    </font>
    <font>
      <b/>
      <sz val="11.0"/>
      <color rgb="FF000000"/>
      <name val="Calibri"/>
    </font>
    <font>
      <u/>
      <sz val="11.0"/>
      <color rgb="FF0000FF"/>
      <name val="Open Sans"/>
    </font>
    <font>
      <b/>
      <sz val="11.0"/>
      <color rgb="FF1F1F1F"/>
      <name val="Arial"/>
    </font>
    <font>
      <sz val="13.0"/>
      <color theme="1"/>
      <name val="Calibri"/>
    </font>
    <font>
      <sz val="13.0"/>
      <color rgb="FF000000"/>
      <name val="Calibri"/>
    </font>
    <font>
      <color rgb="FF1F1F1F"/>
      <name val="&quot;Google Sans Text&quot;"/>
    </font>
    <font>
      <b/>
      <color rgb="FF1F1F1F"/>
      <name val="&quot;Google Sans Text&quot;"/>
    </font>
    <font>
      <sz val="14.0"/>
      <color theme="1"/>
      <name val="Calibri"/>
    </font>
    <font>
      <b/>
      <sz val="14.0"/>
      <color rgb="FF000000"/>
      <name val="Arial"/>
    </font>
    <font>
      <b/>
      <sz val="11.0"/>
      <color rgb="FF000000"/>
      <name val="Arial"/>
    </font>
    <font>
      <sz val="14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BE4D5"/>
        <bgColor rgb="FFFBE4D5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BDD7EE"/>
        <bgColor rgb="FFBDD7EE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</fills>
  <borders count="22">
    <border/>
    <border>
      <left/>
      <right/>
      <top/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D6D6D6"/>
      </left>
      <right style="thin">
        <color rgb="FFD6D6D6"/>
      </right>
      <bottom style="thin">
        <color rgb="FFD6D6D6"/>
      </bottom>
    </border>
    <border>
      <left style="thin">
        <color rgb="FFD6D6D6"/>
      </left>
      <right/>
      <top style="thin">
        <color rgb="FFD6D6D6"/>
      </top>
      <bottom style="thin">
        <color rgb="FFD6D6D6"/>
      </bottom>
    </border>
    <border>
      <left/>
      <right style="thin">
        <color rgb="FFD6D6D6"/>
      </right>
      <top style="thin">
        <color rgb="FFD6D6D6"/>
      </top>
      <bottom style="thin">
        <color rgb="FFD6D6D6"/>
      </bottom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D6D6D6"/>
      </left>
      <top style="thin">
        <color rgb="FFD6D6D6"/>
      </top>
      <bottom/>
    </border>
    <border>
      <right style="thin">
        <color rgb="FFD6D6D6"/>
      </right>
      <top style="thin">
        <color rgb="FFD6D6D6"/>
      </top>
      <bottom/>
    </border>
    <border>
      <left style="thin">
        <color rgb="FFD6D6D6"/>
      </left>
      <right style="thin">
        <color rgb="FFD6D6D6"/>
      </right>
      <top style="thin">
        <color rgb="FFD6D6D6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2" numFmtId="0" xfId="0" applyFont="1"/>
    <xf borderId="1" fillId="3" fontId="3" numFmtId="0" xfId="0" applyBorder="1" applyFill="1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shrinkToFit="0" wrapText="1"/>
    </xf>
    <xf borderId="2" fillId="0" fontId="2" numFmtId="0" xfId="0" applyBorder="1" applyFont="1"/>
    <xf borderId="2" fillId="0" fontId="2" numFmtId="0" xfId="0" applyAlignment="1" applyBorder="1" applyFont="1">
      <alignment readingOrder="0"/>
    </xf>
    <xf borderId="1" fillId="4" fontId="3" numFmtId="0" xfId="0" applyBorder="1" applyFill="1" applyFont="1"/>
    <xf borderId="0" fillId="0" fontId="2" numFmtId="164" xfId="0" applyFont="1" applyNumberFormat="1"/>
    <xf borderId="0" fillId="5" fontId="3" numFmtId="0" xfId="0" applyAlignment="1" applyFill="1" applyFont="1">
      <alignment readingOrder="0"/>
    </xf>
    <xf borderId="0" fillId="0" fontId="2" numFmtId="0" xfId="0" applyAlignment="1" applyFont="1">
      <alignment horizontal="right" vertical="bottom"/>
    </xf>
    <xf borderId="2" fillId="0" fontId="2" numFmtId="0" xfId="0" applyAlignment="1" applyBorder="1" applyFont="1">
      <alignment horizontal="right" readingOrder="0" vertical="bottom"/>
    </xf>
    <xf borderId="0" fillId="5" fontId="3" numFmtId="0" xfId="0" applyFont="1"/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1" fillId="4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3" fillId="4" fontId="3" numFmtId="0" xfId="0" applyAlignment="1" applyBorder="1" applyFont="1">
      <alignment horizontal="right" vertical="bottom"/>
    </xf>
    <xf borderId="4" fillId="6" fontId="3" numFmtId="0" xfId="0" applyAlignment="1" applyBorder="1" applyFill="1" applyFont="1">
      <alignment horizontal="right" vertical="bottom"/>
    </xf>
    <xf borderId="0" fillId="0" fontId="5" numFmtId="0" xfId="0" applyFont="1"/>
    <xf borderId="0" fillId="0" fontId="2" numFmtId="0" xfId="0" applyAlignment="1" applyFont="1">
      <alignment vertical="top"/>
    </xf>
    <xf borderId="1" fillId="7" fontId="6" numFmtId="0" xfId="0" applyBorder="1" applyFill="1" applyFont="1"/>
    <xf borderId="1" fillId="7" fontId="2" numFmtId="0" xfId="0" applyBorder="1" applyFont="1"/>
    <xf borderId="1" fillId="4" fontId="3" numFmtId="165" xfId="0" applyBorder="1" applyFont="1" applyNumberFormat="1"/>
    <xf borderId="3" fillId="4" fontId="3" numFmtId="0" xfId="0" applyBorder="1" applyFont="1"/>
    <xf borderId="4" fillId="6" fontId="3" numFmtId="165" xfId="0" applyBorder="1" applyFont="1" applyNumberFormat="1"/>
    <xf borderId="5" fillId="0" fontId="7" numFmtId="0" xfId="0" applyAlignment="1" applyBorder="1" applyFont="1">
      <alignment horizontal="center"/>
    </xf>
    <xf borderId="6" fillId="8" fontId="8" numFmtId="0" xfId="0" applyAlignment="1" applyBorder="1" applyFill="1" applyFont="1">
      <alignment horizontal="center"/>
    </xf>
    <xf borderId="7" fillId="8" fontId="8" numFmtId="0" xfId="0" applyAlignment="1" applyBorder="1" applyFont="1">
      <alignment horizontal="center"/>
    </xf>
    <xf borderId="8" fillId="8" fontId="8" numFmtId="0" xfId="0" applyAlignment="1" applyBorder="1" applyFont="1">
      <alignment horizontal="center"/>
    </xf>
    <xf borderId="0" fillId="0" fontId="9" numFmtId="0" xfId="0" applyFont="1"/>
    <xf borderId="8" fillId="0" fontId="10" numFmtId="0" xfId="0" applyAlignment="1" applyBorder="1" applyFont="1">
      <alignment horizontal="left"/>
    </xf>
    <xf borderId="8" fillId="0" fontId="11" numFmtId="0" xfId="0" applyAlignment="1" applyBorder="1" applyFont="1">
      <alignment horizontal="left"/>
    </xf>
    <xf borderId="0" fillId="0" fontId="12" numFmtId="0" xfId="0" applyFont="1"/>
    <xf borderId="9" fillId="0" fontId="12" numFmtId="0" xfId="0" applyBorder="1" applyFont="1"/>
    <xf borderId="0" fillId="0" fontId="13" numFmtId="0" xfId="0" applyFont="1"/>
    <xf borderId="9" fillId="0" fontId="9" numFmtId="0" xfId="0" applyBorder="1" applyFont="1"/>
    <xf borderId="8" fillId="0" fontId="14" numFmtId="0" xfId="0" applyAlignment="1" applyBorder="1" applyFont="1">
      <alignment horizontal="left"/>
    </xf>
    <xf borderId="0" fillId="5" fontId="12" numFmtId="0" xfId="0" applyFont="1"/>
    <xf borderId="0" fillId="9" fontId="12" numFmtId="0" xfId="0" applyFill="1" applyFont="1"/>
    <xf borderId="8" fillId="0" fontId="15" numFmtId="0" xfId="0" applyAlignment="1" applyBorder="1" applyFont="1">
      <alignment horizontal="left"/>
    </xf>
    <xf borderId="8" fillId="10" fontId="16" numFmtId="0" xfId="0" applyAlignment="1" applyBorder="1" applyFill="1" applyFont="1">
      <alignment horizontal="left"/>
    </xf>
    <xf borderId="0" fillId="0" fontId="17" numFmtId="0" xfId="0" applyFont="1"/>
    <xf borderId="10" fillId="8" fontId="8" numFmtId="0" xfId="0" applyAlignment="1" applyBorder="1" applyFont="1">
      <alignment horizontal="center"/>
    </xf>
    <xf borderId="11" fillId="0" fontId="18" numFmtId="0" xfId="0" applyBorder="1" applyFont="1"/>
    <xf borderId="12" fillId="8" fontId="8" numFmtId="0" xfId="0" applyAlignment="1" applyBorder="1" applyFont="1">
      <alignment horizontal="center"/>
    </xf>
    <xf borderId="1" fillId="11" fontId="2" numFmtId="0" xfId="0" applyBorder="1" applyFill="1" applyFont="1"/>
    <xf borderId="0" fillId="0" fontId="19" numFmtId="0" xfId="0" applyAlignment="1" applyFont="1">
      <alignment shrinkToFit="0" vertical="bottom" wrapText="0"/>
    </xf>
    <xf borderId="0" fillId="12" fontId="20" numFmtId="0" xfId="0" applyAlignment="1" applyFill="1" applyFont="1">
      <alignment shrinkToFit="0" vertical="bottom" wrapText="0"/>
    </xf>
    <xf borderId="0" fillId="12" fontId="19" numFmtId="0" xfId="0" applyAlignment="1" applyFont="1">
      <alignment shrinkToFit="0" vertical="bottom" wrapText="0"/>
    </xf>
    <xf borderId="0" fillId="0" fontId="4" numFmtId="0" xfId="0" applyAlignment="1" applyFont="1">
      <alignment horizontal="center"/>
    </xf>
    <xf borderId="0" fillId="13" fontId="19" numFmtId="0" xfId="0" applyAlignment="1" applyFill="1" applyFont="1">
      <alignment shrinkToFit="0" vertical="bottom" wrapText="0"/>
    </xf>
    <xf borderId="8" fillId="5" fontId="21" numFmtId="0" xfId="0" applyAlignment="1" applyBorder="1" applyFont="1">
      <alignment horizontal="left"/>
    </xf>
    <xf borderId="8" fillId="14" fontId="22" numFmtId="0" xfId="0" applyAlignment="1" applyBorder="1" applyFill="1" applyFont="1">
      <alignment horizontal="left"/>
    </xf>
    <xf borderId="0" fillId="14" fontId="4" numFmtId="0" xfId="0" applyFont="1"/>
    <xf borderId="0" fillId="0" fontId="23" numFmtId="0" xfId="0" applyFont="1"/>
    <xf borderId="0" fillId="0" fontId="24" numFmtId="0" xfId="0" applyAlignment="1" applyFont="1">
      <alignment shrinkToFit="0" vertical="bottom" wrapText="0"/>
    </xf>
    <xf borderId="0" fillId="15" fontId="24" numFmtId="0" xfId="0" applyAlignment="1" applyFill="1" applyFont="1">
      <alignment shrinkToFit="0" vertical="bottom" wrapText="0"/>
    </xf>
    <xf borderId="0" fillId="0" fontId="25" numFmtId="0" xfId="0" applyAlignment="1" applyFont="1">
      <alignment readingOrder="0"/>
    </xf>
    <xf borderId="9" fillId="0" fontId="25" numFmtId="0" xfId="0" applyBorder="1" applyFont="1"/>
    <xf borderId="0" fillId="0" fontId="26" numFmtId="0" xfId="0" applyAlignment="1" applyFont="1">
      <alignment readingOrder="0"/>
    </xf>
    <xf borderId="0" fillId="0" fontId="27" numFmtId="0" xfId="0" applyFont="1"/>
    <xf borderId="4" fillId="0" fontId="28" numFmtId="0" xfId="0" applyAlignment="1" applyBorder="1" applyFont="1">
      <alignment horizontal="center" shrinkToFit="0" vertical="center" wrapText="1"/>
    </xf>
    <xf borderId="13" fillId="0" fontId="28" numFmtId="0" xfId="0" applyAlignment="1" applyBorder="1" applyFont="1">
      <alignment horizontal="center" shrinkToFit="0" vertical="center" wrapText="1"/>
    </xf>
    <xf borderId="14" fillId="0" fontId="29" numFmtId="0" xfId="0" applyAlignment="1" applyBorder="1" applyFont="1">
      <alignment horizontal="center" shrinkToFit="0" vertical="center" wrapText="1"/>
    </xf>
    <xf borderId="4" fillId="0" fontId="30" numFmtId="0" xfId="0" applyAlignment="1" applyBorder="1" applyFont="1">
      <alignment horizontal="center" shrinkToFit="0" vertical="center" wrapText="1"/>
    </xf>
    <xf borderId="4" fillId="0" fontId="30" numFmtId="0" xfId="0" applyAlignment="1" applyBorder="1" applyFont="1">
      <alignment horizontal="center" shrinkToFit="0" wrapText="1"/>
    </xf>
    <xf borderId="15" fillId="0" fontId="30" numFmtId="0" xfId="0" applyAlignment="1" applyBorder="1" applyFont="1">
      <alignment shrinkToFit="0" vertical="center" wrapText="1"/>
    </xf>
    <xf borderId="16" fillId="0" fontId="30" numFmtId="0" xfId="0" applyAlignment="1" applyBorder="1" applyFont="1">
      <alignment horizontal="center" shrinkToFit="0" vertical="center" wrapText="1"/>
    </xf>
    <xf borderId="17" fillId="0" fontId="18" numFmtId="0" xfId="0" applyBorder="1" applyFont="1"/>
    <xf borderId="18" fillId="0" fontId="18" numFmtId="0" xfId="0" applyBorder="1" applyFont="1"/>
    <xf borderId="16" fillId="0" fontId="30" numFmtId="0" xfId="0" applyAlignment="1" applyBorder="1" applyFont="1">
      <alignment horizontal="center" vertical="center"/>
    </xf>
    <xf borderId="19" fillId="0" fontId="30" numFmtId="0" xfId="0" applyAlignment="1" applyBorder="1" applyFont="1">
      <alignment shrinkToFit="0" vertical="center" wrapText="1"/>
    </xf>
    <xf borderId="16" fillId="0" fontId="27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right" vertical="center"/>
    </xf>
    <xf borderId="21" fillId="0" fontId="27" numFmtId="0" xfId="0" applyAlignment="1" applyBorder="1" applyFont="1">
      <alignment horizontal="center"/>
    </xf>
    <xf borderId="20" fillId="0" fontId="18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704850</xdr:colOff>
      <xdr:row>110</xdr:row>
      <xdr:rowOff>28575</xdr:rowOff>
    </xdr:from>
    <xdr:ext cx="2514600" cy="1790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2447925</xdr:colOff>
      <xdr:row>232</xdr:row>
      <xdr:rowOff>-114300</xdr:rowOff>
    </xdr:from>
    <xdr:ext cx="5791200" cy="280035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2352675</xdr:colOff>
      <xdr:row>246</xdr:row>
      <xdr:rowOff>28575</xdr:rowOff>
    </xdr:from>
    <xdr:ext cx="5886450" cy="36099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2447925</xdr:colOff>
      <xdr:row>265</xdr:row>
      <xdr:rowOff>76200</xdr:rowOff>
    </xdr:from>
    <xdr:ext cx="5791200" cy="6477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go.teamsnap.com/7282249/availability/attendance/109742505" TargetMode="External"/><Relationship Id="rId42" Type="http://schemas.openxmlformats.org/officeDocument/2006/relationships/hyperlink" Target="https://go.teamsnap.com/7282249/roster/player/145034329" TargetMode="External"/><Relationship Id="rId41" Type="http://schemas.openxmlformats.org/officeDocument/2006/relationships/hyperlink" Target="https://go.teamsnap.com/7282249/availability/attendance/109742505" TargetMode="External"/><Relationship Id="rId44" Type="http://schemas.openxmlformats.org/officeDocument/2006/relationships/hyperlink" Target="https://go.teamsnap.com/7282249/availability/attendance/145034329" TargetMode="External"/><Relationship Id="rId43" Type="http://schemas.openxmlformats.org/officeDocument/2006/relationships/hyperlink" Target="https://go.teamsnap.com/7282249/availability/attendance/145034329" TargetMode="External"/><Relationship Id="rId46" Type="http://schemas.openxmlformats.org/officeDocument/2006/relationships/hyperlink" Target="https://go.teamsnap.com/7282249/availability/attendance/144912315" TargetMode="External"/><Relationship Id="rId45" Type="http://schemas.openxmlformats.org/officeDocument/2006/relationships/hyperlink" Target="https://go.teamsnap.com/7282249/availability/attendance/144912315" TargetMode="External"/><Relationship Id="rId107" Type="http://schemas.openxmlformats.org/officeDocument/2006/relationships/hyperlink" Target="https://go.teamsnap.com/7282249/availability/attendance/103461555" TargetMode="External"/><Relationship Id="rId106" Type="http://schemas.openxmlformats.org/officeDocument/2006/relationships/hyperlink" Target="https://go.teamsnap.com/7282249/availability/attendance/124762668" TargetMode="External"/><Relationship Id="rId105" Type="http://schemas.openxmlformats.org/officeDocument/2006/relationships/hyperlink" Target="https://go.teamsnap.com/7282249/availability/attendance/124762668" TargetMode="External"/><Relationship Id="rId104" Type="http://schemas.openxmlformats.org/officeDocument/2006/relationships/hyperlink" Target="https://go.teamsnap.com/7282249/roster/player/124762668" TargetMode="External"/><Relationship Id="rId109" Type="http://schemas.openxmlformats.org/officeDocument/2006/relationships/hyperlink" Target="https://go.teamsnap.com/7282249/availability/attendance/103290356" TargetMode="External"/><Relationship Id="rId108" Type="http://schemas.openxmlformats.org/officeDocument/2006/relationships/hyperlink" Target="https://go.teamsnap.com/7282249/availability/attendance/103461555" TargetMode="External"/><Relationship Id="rId48" Type="http://schemas.openxmlformats.org/officeDocument/2006/relationships/hyperlink" Target="https://go.teamsnap.com/7282249/availability/attendance/144213087" TargetMode="External"/><Relationship Id="rId47" Type="http://schemas.openxmlformats.org/officeDocument/2006/relationships/hyperlink" Target="https://go.teamsnap.com/7282249/roster/player/144213087" TargetMode="External"/><Relationship Id="rId49" Type="http://schemas.openxmlformats.org/officeDocument/2006/relationships/hyperlink" Target="https://go.teamsnap.com/7282249/availability/attendance/144213087" TargetMode="External"/><Relationship Id="rId103" Type="http://schemas.openxmlformats.org/officeDocument/2006/relationships/hyperlink" Target="https://go.teamsnap.com/7282249/availability/attendance/96221837" TargetMode="External"/><Relationship Id="rId102" Type="http://schemas.openxmlformats.org/officeDocument/2006/relationships/hyperlink" Target="https://go.teamsnap.com/7282249/availability/attendance/96221837" TargetMode="External"/><Relationship Id="rId101" Type="http://schemas.openxmlformats.org/officeDocument/2006/relationships/hyperlink" Target="https://go.teamsnap.com/7282249/availability/attendance/139340107" TargetMode="External"/><Relationship Id="rId100" Type="http://schemas.openxmlformats.org/officeDocument/2006/relationships/hyperlink" Target="https://go.teamsnap.com/7282249/availability/attendance/139340107" TargetMode="External"/><Relationship Id="rId31" Type="http://schemas.openxmlformats.org/officeDocument/2006/relationships/hyperlink" Target="https://go.teamsnap.com/7282249/availability/attendance/108510094" TargetMode="External"/><Relationship Id="rId30" Type="http://schemas.openxmlformats.org/officeDocument/2006/relationships/hyperlink" Target="https://go.teamsnap.com/7282249/availability/attendance/145074051" TargetMode="External"/><Relationship Id="rId33" Type="http://schemas.openxmlformats.org/officeDocument/2006/relationships/hyperlink" Target="https://go.teamsnap.com/7282249/roster/player/144972999" TargetMode="External"/><Relationship Id="rId32" Type="http://schemas.openxmlformats.org/officeDocument/2006/relationships/hyperlink" Target="https://go.teamsnap.com/7282249/availability/attendance/108510094" TargetMode="External"/><Relationship Id="rId35" Type="http://schemas.openxmlformats.org/officeDocument/2006/relationships/hyperlink" Target="https://go.teamsnap.com/7282249/availability/attendance/144972999" TargetMode="External"/><Relationship Id="rId34" Type="http://schemas.openxmlformats.org/officeDocument/2006/relationships/hyperlink" Target="https://go.teamsnap.com/7282249/availability/attendance/144972999" TargetMode="External"/><Relationship Id="rId37" Type="http://schemas.openxmlformats.org/officeDocument/2006/relationships/hyperlink" Target="https://go.teamsnap.com/7282249/availability/attendance/144866895" TargetMode="External"/><Relationship Id="rId176" Type="http://schemas.openxmlformats.org/officeDocument/2006/relationships/hyperlink" Target="https://go.teamsnap.com/7282249/availability/attendance/96221786" TargetMode="External"/><Relationship Id="rId36" Type="http://schemas.openxmlformats.org/officeDocument/2006/relationships/hyperlink" Target="https://go.teamsnap.com/7282249/roster/player/144866895" TargetMode="External"/><Relationship Id="rId175" Type="http://schemas.openxmlformats.org/officeDocument/2006/relationships/hyperlink" Target="https://go.teamsnap.com/7282249/availability/attendance/103461555" TargetMode="External"/><Relationship Id="rId39" Type="http://schemas.openxmlformats.org/officeDocument/2006/relationships/hyperlink" Target="https://go.teamsnap.com/7282249/roster/player/109742505" TargetMode="External"/><Relationship Id="rId174" Type="http://schemas.openxmlformats.org/officeDocument/2006/relationships/hyperlink" Target="https://go.teamsnap.com/7282249/availability/attendance/144683985" TargetMode="External"/><Relationship Id="rId38" Type="http://schemas.openxmlformats.org/officeDocument/2006/relationships/hyperlink" Target="https://go.teamsnap.com/7282249/availability/attendance/144866895" TargetMode="External"/><Relationship Id="rId173" Type="http://schemas.openxmlformats.org/officeDocument/2006/relationships/hyperlink" Target="https://go.teamsnap.com/7282249/availability/attendance/103251456" TargetMode="External"/><Relationship Id="rId178" Type="http://schemas.openxmlformats.org/officeDocument/2006/relationships/drawing" Target="../drawings/drawing2.xml"/><Relationship Id="rId177" Type="http://schemas.openxmlformats.org/officeDocument/2006/relationships/hyperlink" Target="https://go.teamsnap.com/7282249/availability/attendance/94663583" TargetMode="External"/><Relationship Id="rId20" Type="http://schemas.openxmlformats.org/officeDocument/2006/relationships/hyperlink" Target="https://go.teamsnap.com/7282249/availability/attendance/94663475" TargetMode="External"/><Relationship Id="rId22" Type="http://schemas.openxmlformats.org/officeDocument/2006/relationships/hyperlink" Target="https://go.teamsnap.com/7282249/roster/player/124640381" TargetMode="External"/><Relationship Id="rId21" Type="http://schemas.openxmlformats.org/officeDocument/2006/relationships/hyperlink" Target="https://go.teamsnap.com/7282249/availability/attendance/94663475" TargetMode="External"/><Relationship Id="rId24" Type="http://schemas.openxmlformats.org/officeDocument/2006/relationships/hyperlink" Target="https://go.teamsnap.com/7282249/availability/attendance/124640381" TargetMode="External"/><Relationship Id="rId23" Type="http://schemas.openxmlformats.org/officeDocument/2006/relationships/hyperlink" Target="https://go.teamsnap.com/7282249/availability/attendance/124640381" TargetMode="External"/><Relationship Id="rId129" Type="http://schemas.openxmlformats.org/officeDocument/2006/relationships/hyperlink" Target="https://go.teamsnap.com/7282249/availability/attendance/145133198" TargetMode="External"/><Relationship Id="rId128" Type="http://schemas.openxmlformats.org/officeDocument/2006/relationships/hyperlink" Target="https://go.teamsnap.com/7282249/roster/player/145133198" TargetMode="External"/><Relationship Id="rId127" Type="http://schemas.openxmlformats.org/officeDocument/2006/relationships/hyperlink" Target="https://go.teamsnap.com/7282249/availability/attendance/144767885" TargetMode="External"/><Relationship Id="rId126" Type="http://schemas.openxmlformats.org/officeDocument/2006/relationships/hyperlink" Target="https://go.teamsnap.com/7282249/availability/attendance/144767885" TargetMode="External"/><Relationship Id="rId26" Type="http://schemas.openxmlformats.org/officeDocument/2006/relationships/hyperlink" Target="https://go.teamsnap.com/7282249/availability/attendance/92232886" TargetMode="External"/><Relationship Id="rId121" Type="http://schemas.openxmlformats.org/officeDocument/2006/relationships/hyperlink" Target="https://go.teamsnap.com/7282249/availability/attendance/94663460" TargetMode="External"/><Relationship Id="rId25" Type="http://schemas.openxmlformats.org/officeDocument/2006/relationships/hyperlink" Target="https://go.teamsnap.com/7282249/roster/player/92232886" TargetMode="External"/><Relationship Id="rId120" Type="http://schemas.openxmlformats.org/officeDocument/2006/relationships/hyperlink" Target="https://go.teamsnap.com/7282249/availability/attendance/94663460" TargetMode="External"/><Relationship Id="rId28" Type="http://schemas.openxmlformats.org/officeDocument/2006/relationships/hyperlink" Target="https://go.teamsnap.com/7282249/roster/player/145074051" TargetMode="External"/><Relationship Id="rId27" Type="http://schemas.openxmlformats.org/officeDocument/2006/relationships/hyperlink" Target="https://go.teamsnap.com/7282249/availability/attendance/92232886" TargetMode="External"/><Relationship Id="rId125" Type="http://schemas.openxmlformats.org/officeDocument/2006/relationships/hyperlink" Target="https://go.teamsnap.com/7282249/roster/player/144767885" TargetMode="External"/><Relationship Id="rId29" Type="http://schemas.openxmlformats.org/officeDocument/2006/relationships/hyperlink" Target="https://go.teamsnap.com/7282249/availability/attendance/145074051" TargetMode="External"/><Relationship Id="rId124" Type="http://schemas.openxmlformats.org/officeDocument/2006/relationships/hyperlink" Target="https://go.teamsnap.com/7282249/availability/attendance/145230641" TargetMode="External"/><Relationship Id="rId123" Type="http://schemas.openxmlformats.org/officeDocument/2006/relationships/hyperlink" Target="https://go.teamsnap.com/7282249/availability/attendance/145230641" TargetMode="External"/><Relationship Id="rId122" Type="http://schemas.openxmlformats.org/officeDocument/2006/relationships/hyperlink" Target="https://go.teamsnap.com/7282249/roster/player/145230641" TargetMode="External"/><Relationship Id="rId95" Type="http://schemas.openxmlformats.org/officeDocument/2006/relationships/hyperlink" Target="https://go.teamsnap.com/7282249/availability/attendance/145345913" TargetMode="External"/><Relationship Id="rId94" Type="http://schemas.openxmlformats.org/officeDocument/2006/relationships/hyperlink" Target="https://go.teamsnap.com/7282249/availability/attendance/145345913" TargetMode="External"/><Relationship Id="rId97" Type="http://schemas.openxmlformats.org/officeDocument/2006/relationships/hyperlink" Target="https://go.teamsnap.com/7282249/availability/attendance/92232954" TargetMode="External"/><Relationship Id="rId96" Type="http://schemas.openxmlformats.org/officeDocument/2006/relationships/hyperlink" Target="https://go.teamsnap.com/7282249/roster/player/92232954" TargetMode="External"/><Relationship Id="rId11" Type="http://schemas.openxmlformats.org/officeDocument/2006/relationships/hyperlink" Target="https://go.teamsnap.com/7282249/roster/player/134829749" TargetMode="External"/><Relationship Id="rId99" Type="http://schemas.openxmlformats.org/officeDocument/2006/relationships/hyperlink" Target="https://go.teamsnap.com/7282249/roster/player/139340107" TargetMode="External"/><Relationship Id="rId10" Type="http://schemas.openxmlformats.org/officeDocument/2006/relationships/hyperlink" Target="https://go.teamsnap.com/7282249/availability/attendance/144746885" TargetMode="External"/><Relationship Id="rId98" Type="http://schemas.openxmlformats.org/officeDocument/2006/relationships/hyperlink" Target="https://go.teamsnap.com/7282249/availability/attendance/92232954" TargetMode="External"/><Relationship Id="rId13" Type="http://schemas.openxmlformats.org/officeDocument/2006/relationships/hyperlink" Target="https://go.teamsnap.com/7282249/availability/attendance/134829749" TargetMode="External"/><Relationship Id="rId12" Type="http://schemas.openxmlformats.org/officeDocument/2006/relationships/hyperlink" Target="https://go.teamsnap.com/7282249/availability/attendance/134829749" TargetMode="External"/><Relationship Id="rId91" Type="http://schemas.openxmlformats.org/officeDocument/2006/relationships/hyperlink" Target="https://go.teamsnap.com/7282249/availability/attendance/101567688" TargetMode="External"/><Relationship Id="rId90" Type="http://schemas.openxmlformats.org/officeDocument/2006/relationships/hyperlink" Target="https://go.teamsnap.com/7282249/availability/attendance/101567688" TargetMode="External"/><Relationship Id="rId93" Type="http://schemas.openxmlformats.org/officeDocument/2006/relationships/hyperlink" Target="https://go.teamsnap.com/7282249/availability/attendance/144813234" TargetMode="External"/><Relationship Id="rId92" Type="http://schemas.openxmlformats.org/officeDocument/2006/relationships/hyperlink" Target="https://go.teamsnap.com/7282249/availability/attendance/144813234" TargetMode="External"/><Relationship Id="rId118" Type="http://schemas.openxmlformats.org/officeDocument/2006/relationships/hyperlink" Target="https://go.teamsnap.com/7282249/availability/attendance/145446025" TargetMode="External"/><Relationship Id="rId117" Type="http://schemas.openxmlformats.org/officeDocument/2006/relationships/hyperlink" Target="https://go.teamsnap.com/7282249/availability/attendance/145446025" TargetMode="External"/><Relationship Id="rId116" Type="http://schemas.openxmlformats.org/officeDocument/2006/relationships/hyperlink" Target="https://go.teamsnap.com/7282249/roster/player/145446025" TargetMode="External"/><Relationship Id="rId115" Type="http://schemas.openxmlformats.org/officeDocument/2006/relationships/hyperlink" Target="https://go.teamsnap.com/7282249/availability/attendance/103461581" TargetMode="External"/><Relationship Id="rId119" Type="http://schemas.openxmlformats.org/officeDocument/2006/relationships/hyperlink" Target="https://go.teamsnap.com/7282249/roster/player/94663460" TargetMode="External"/><Relationship Id="rId15" Type="http://schemas.openxmlformats.org/officeDocument/2006/relationships/hyperlink" Target="https://go.teamsnap.com/7282249/availability/attendance/94663229" TargetMode="External"/><Relationship Id="rId110" Type="http://schemas.openxmlformats.org/officeDocument/2006/relationships/hyperlink" Target="https://go.teamsnap.com/7282249/availability/attendance/103290356" TargetMode="External"/><Relationship Id="rId14" Type="http://schemas.openxmlformats.org/officeDocument/2006/relationships/hyperlink" Target="https://go.teamsnap.com/7282249/availability/attendance/94663229" TargetMode="External"/><Relationship Id="rId17" Type="http://schemas.openxmlformats.org/officeDocument/2006/relationships/hyperlink" Target="https://go.teamsnap.com/7282249/availability/attendance/94664110" TargetMode="External"/><Relationship Id="rId16" Type="http://schemas.openxmlformats.org/officeDocument/2006/relationships/hyperlink" Target="https://go.teamsnap.com/7282249/availability/attendance/94664110" TargetMode="External"/><Relationship Id="rId19" Type="http://schemas.openxmlformats.org/officeDocument/2006/relationships/hyperlink" Target="https://go.teamsnap.com/7282249/availability/attendance/97675847" TargetMode="External"/><Relationship Id="rId114" Type="http://schemas.openxmlformats.org/officeDocument/2006/relationships/hyperlink" Target="https://go.teamsnap.com/7282249/availability/attendance/103461581" TargetMode="External"/><Relationship Id="rId18" Type="http://schemas.openxmlformats.org/officeDocument/2006/relationships/hyperlink" Target="https://go.teamsnap.com/7282249/availability/attendance/97675847" TargetMode="External"/><Relationship Id="rId113" Type="http://schemas.openxmlformats.org/officeDocument/2006/relationships/hyperlink" Target="https://go.teamsnap.com/7282249/roster/player/103461581" TargetMode="External"/><Relationship Id="rId112" Type="http://schemas.openxmlformats.org/officeDocument/2006/relationships/hyperlink" Target="https://go.teamsnap.com/7282249/availability/attendance/103251456" TargetMode="External"/><Relationship Id="rId111" Type="http://schemas.openxmlformats.org/officeDocument/2006/relationships/hyperlink" Target="https://go.teamsnap.com/7282249/availability/attendance/103251456" TargetMode="External"/><Relationship Id="rId84" Type="http://schemas.openxmlformats.org/officeDocument/2006/relationships/hyperlink" Target="https://go.teamsnap.com/7282249/availability/attendance/144777940" TargetMode="External"/><Relationship Id="rId83" Type="http://schemas.openxmlformats.org/officeDocument/2006/relationships/hyperlink" Target="https://go.teamsnap.com/7282249/roster/player/144777940" TargetMode="External"/><Relationship Id="rId86" Type="http://schemas.openxmlformats.org/officeDocument/2006/relationships/hyperlink" Target="https://go.teamsnap.com/7282249/availability/attendance/135213485" TargetMode="External"/><Relationship Id="rId85" Type="http://schemas.openxmlformats.org/officeDocument/2006/relationships/hyperlink" Target="https://go.teamsnap.com/7282249/availability/attendance/144777940" TargetMode="External"/><Relationship Id="rId88" Type="http://schemas.openxmlformats.org/officeDocument/2006/relationships/hyperlink" Target="https://go.teamsnap.com/7282249/availability/attendance/94663583" TargetMode="External"/><Relationship Id="rId150" Type="http://schemas.openxmlformats.org/officeDocument/2006/relationships/hyperlink" Target="https://go.teamsnap.com/7282249/availability/attendance/144947542" TargetMode="External"/><Relationship Id="rId87" Type="http://schemas.openxmlformats.org/officeDocument/2006/relationships/hyperlink" Target="https://go.teamsnap.com/7282249/availability/attendance/135213485" TargetMode="External"/><Relationship Id="rId89" Type="http://schemas.openxmlformats.org/officeDocument/2006/relationships/hyperlink" Target="https://go.teamsnap.com/7282249/availability/attendance/94663583" TargetMode="External"/><Relationship Id="rId80" Type="http://schemas.openxmlformats.org/officeDocument/2006/relationships/hyperlink" Target="https://go.teamsnap.com/7282249/roster/player/144684114" TargetMode="External"/><Relationship Id="rId82" Type="http://schemas.openxmlformats.org/officeDocument/2006/relationships/hyperlink" Target="https://go.teamsnap.com/7282249/availability/attendance/144684114" TargetMode="External"/><Relationship Id="rId81" Type="http://schemas.openxmlformats.org/officeDocument/2006/relationships/hyperlink" Target="https://go.teamsnap.com/7282249/availability/attendance/144684114" TargetMode="External"/><Relationship Id="rId1" Type="http://schemas.openxmlformats.org/officeDocument/2006/relationships/hyperlink" Target="https://go.teamsnap.com/7282249/schedule/view_event/366753025" TargetMode="External"/><Relationship Id="rId2" Type="http://schemas.openxmlformats.org/officeDocument/2006/relationships/hyperlink" Target="https://go.teamsnap.com/7282249/schedule/view_event/366753124" TargetMode="External"/><Relationship Id="rId3" Type="http://schemas.openxmlformats.org/officeDocument/2006/relationships/hyperlink" Target="https://go.teamsnap.com/7282249/schedule/view_event/366753320" TargetMode="External"/><Relationship Id="rId149" Type="http://schemas.openxmlformats.org/officeDocument/2006/relationships/hyperlink" Target="https://go.teamsnap.com/7282249/availability/attendance/144947542" TargetMode="External"/><Relationship Id="rId4" Type="http://schemas.openxmlformats.org/officeDocument/2006/relationships/hyperlink" Target="https://go.teamsnap.com/7282249/schedule/view_event/366826031" TargetMode="External"/><Relationship Id="rId148" Type="http://schemas.openxmlformats.org/officeDocument/2006/relationships/hyperlink" Target="https://go.teamsnap.com/7282249/availability/attendance/124835111" TargetMode="External"/><Relationship Id="rId9" Type="http://schemas.openxmlformats.org/officeDocument/2006/relationships/hyperlink" Target="https://go.teamsnap.com/7282249/availability/attendance/144746885" TargetMode="External"/><Relationship Id="rId143" Type="http://schemas.openxmlformats.org/officeDocument/2006/relationships/hyperlink" Target="https://go.teamsnap.com/7282249/availability/attendance/117197482" TargetMode="External"/><Relationship Id="rId142" Type="http://schemas.openxmlformats.org/officeDocument/2006/relationships/hyperlink" Target="https://go.teamsnap.com/7282249/availability/attendance/117197482" TargetMode="External"/><Relationship Id="rId141" Type="http://schemas.openxmlformats.org/officeDocument/2006/relationships/hyperlink" Target="https://go.teamsnap.com/7282249/availability/attendance/144973020" TargetMode="External"/><Relationship Id="rId140" Type="http://schemas.openxmlformats.org/officeDocument/2006/relationships/hyperlink" Target="https://go.teamsnap.com/7282249/availability/attendance/144973020" TargetMode="External"/><Relationship Id="rId5" Type="http://schemas.openxmlformats.org/officeDocument/2006/relationships/hyperlink" Target="https://go.teamsnap.com/7282249/schedule/view_event/366826032" TargetMode="External"/><Relationship Id="rId147" Type="http://schemas.openxmlformats.org/officeDocument/2006/relationships/hyperlink" Target="https://go.teamsnap.com/7282249/availability/attendance/124835111" TargetMode="External"/><Relationship Id="rId6" Type="http://schemas.openxmlformats.org/officeDocument/2006/relationships/hyperlink" Target="https://go.teamsnap.com/7282249/availability/attendance/102766141" TargetMode="External"/><Relationship Id="rId146" Type="http://schemas.openxmlformats.org/officeDocument/2006/relationships/hyperlink" Target="https://go.teamsnap.com/7282249/roster/player/124835111" TargetMode="External"/><Relationship Id="rId7" Type="http://schemas.openxmlformats.org/officeDocument/2006/relationships/hyperlink" Target="https://go.teamsnap.com/7282249/availability/attendance/102766141" TargetMode="External"/><Relationship Id="rId145" Type="http://schemas.openxmlformats.org/officeDocument/2006/relationships/hyperlink" Target="https://go.teamsnap.com/7282249/availability/attendance/102846181" TargetMode="External"/><Relationship Id="rId8" Type="http://schemas.openxmlformats.org/officeDocument/2006/relationships/hyperlink" Target="https://go.teamsnap.com/7282249/roster/player/144746885" TargetMode="External"/><Relationship Id="rId144" Type="http://schemas.openxmlformats.org/officeDocument/2006/relationships/hyperlink" Target="https://go.teamsnap.com/7282249/availability/attendance/102846181" TargetMode="External"/><Relationship Id="rId73" Type="http://schemas.openxmlformats.org/officeDocument/2006/relationships/hyperlink" Target="https://go.teamsnap.com/7282249/availability/attendance/144683985" TargetMode="External"/><Relationship Id="rId72" Type="http://schemas.openxmlformats.org/officeDocument/2006/relationships/hyperlink" Target="https://go.teamsnap.com/7282249/availability/attendance/144777873" TargetMode="External"/><Relationship Id="rId75" Type="http://schemas.openxmlformats.org/officeDocument/2006/relationships/hyperlink" Target="https://go.teamsnap.com/7282249/availability/attendance/94663601" TargetMode="External"/><Relationship Id="rId74" Type="http://schemas.openxmlformats.org/officeDocument/2006/relationships/hyperlink" Target="https://go.teamsnap.com/7282249/availability/attendance/144683985" TargetMode="External"/><Relationship Id="rId77" Type="http://schemas.openxmlformats.org/officeDocument/2006/relationships/hyperlink" Target="https://go.teamsnap.com/7282249/roster/player/137875588" TargetMode="External"/><Relationship Id="rId76" Type="http://schemas.openxmlformats.org/officeDocument/2006/relationships/hyperlink" Target="https://go.teamsnap.com/7282249/availability/attendance/94663601" TargetMode="External"/><Relationship Id="rId79" Type="http://schemas.openxmlformats.org/officeDocument/2006/relationships/hyperlink" Target="https://go.teamsnap.com/7282249/availability/attendance/137875588" TargetMode="External"/><Relationship Id="rId78" Type="http://schemas.openxmlformats.org/officeDocument/2006/relationships/hyperlink" Target="https://go.teamsnap.com/7282249/availability/attendance/137875588" TargetMode="External"/><Relationship Id="rId71" Type="http://schemas.openxmlformats.org/officeDocument/2006/relationships/hyperlink" Target="https://go.teamsnap.com/7282249/availability/attendance/144777873" TargetMode="External"/><Relationship Id="rId70" Type="http://schemas.openxmlformats.org/officeDocument/2006/relationships/hyperlink" Target="https://go.teamsnap.com/7282249/roster/player/144777873" TargetMode="External"/><Relationship Id="rId139" Type="http://schemas.openxmlformats.org/officeDocument/2006/relationships/hyperlink" Target="https://go.teamsnap.com/7282249/roster/player/144973020" TargetMode="External"/><Relationship Id="rId138" Type="http://schemas.openxmlformats.org/officeDocument/2006/relationships/hyperlink" Target="https://go.teamsnap.com/7282249/availability/attendance/109970883" TargetMode="External"/><Relationship Id="rId137" Type="http://schemas.openxmlformats.org/officeDocument/2006/relationships/hyperlink" Target="https://go.teamsnap.com/7282249/availability/attendance/109970883" TargetMode="External"/><Relationship Id="rId132" Type="http://schemas.openxmlformats.org/officeDocument/2006/relationships/hyperlink" Target="https://go.teamsnap.com/7282249/availability/attendance/124549704" TargetMode="External"/><Relationship Id="rId131" Type="http://schemas.openxmlformats.org/officeDocument/2006/relationships/hyperlink" Target="https://go.teamsnap.com/7282249/availability/attendance/124549704" TargetMode="External"/><Relationship Id="rId130" Type="http://schemas.openxmlformats.org/officeDocument/2006/relationships/hyperlink" Target="https://go.teamsnap.com/7282249/availability/attendance/145133198" TargetMode="External"/><Relationship Id="rId136" Type="http://schemas.openxmlformats.org/officeDocument/2006/relationships/hyperlink" Target="https://go.teamsnap.com/7282249/roster/player/109970883" TargetMode="External"/><Relationship Id="rId135" Type="http://schemas.openxmlformats.org/officeDocument/2006/relationships/hyperlink" Target="https://go.teamsnap.com/7282249/availability/attendance/145061452" TargetMode="External"/><Relationship Id="rId134" Type="http://schemas.openxmlformats.org/officeDocument/2006/relationships/hyperlink" Target="https://go.teamsnap.com/7282249/availability/attendance/145061452" TargetMode="External"/><Relationship Id="rId133" Type="http://schemas.openxmlformats.org/officeDocument/2006/relationships/hyperlink" Target="https://go.teamsnap.com/7282249/roster/player/145061452" TargetMode="External"/><Relationship Id="rId62" Type="http://schemas.openxmlformats.org/officeDocument/2006/relationships/hyperlink" Target="https://go.teamsnap.com/7282249/roster/player/145132692" TargetMode="External"/><Relationship Id="rId61" Type="http://schemas.openxmlformats.org/officeDocument/2006/relationships/hyperlink" Target="https://go.teamsnap.com/7282249/availability/attendance/92232916" TargetMode="External"/><Relationship Id="rId64" Type="http://schemas.openxmlformats.org/officeDocument/2006/relationships/hyperlink" Target="https://go.teamsnap.com/7282249/availability/attendance/145132692" TargetMode="External"/><Relationship Id="rId63" Type="http://schemas.openxmlformats.org/officeDocument/2006/relationships/hyperlink" Target="https://go.teamsnap.com/7282249/availability/attendance/145132692" TargetMode="External"/><Relationship Id="rId66" Type="http://schemas.openxmlformats.org/officeDocument/2006/relationships/hyperlink" Target="https://go.teamsnap.com/7282249/availability/attendance/96870063" TargetMode="External"/><Relationship Id="rId172" Type="http://schemas.openxmlformats.org/officeDocument/2006/relationships/hyperlink" Target="https://go.teamsnap.com/7282249/availability/attendance/103290356" TargetMode="External"/><Relationship Id="rId65" Type="http://schemas.openxmlformats.org/officeDocument/2006/relationships/hyperlink" Target="https://go.teamsnap.com/7282249/availability/attendance/96870063" TargetMode="External"/><Relationship Id="rId171" Type="http://schemas.openxmlformats.org/officeDocument/2006/relationships/hyperlink" Target="https://go.teamsnap.com/7282249/availability/attendance/94663475" TargetMode="External"/><Relationship Id="rId68" Type="http://schemas.openxmlformats.org/officeDocument/2006/relationships/hyperlink" Target="https://go.teamsnap.com/7282249/availability/attendance/113418536" TargetMode="External"/><Relationship Id="rId170" Type="http://schemas.openxmlformats.org/officeDocument/2006/relationships/hyperlink" Target="https://go.teamsnap.com/7282249/availability/attendance/92232916" TargetMode="External"/><Relationship Id="rId67" Type="http://schemas.openxmlformats.org/officeDocument/2006/relationships/hyperlink" Target="https://go.teamsnap.com/7282249/roster/player/113418536" TargetMode="External"/><Relationship Id="rId60" Type="http://schemas.openxmlformats.org/officeDocument/2006/relationships/hyperlink" Target="https://go.teamsnap.com/7282249/availability/attendance/92232916" TargetMode="External"/><Relationship Id="rId165" Type="http://schemas.openxmlformats.org/officeDocument/2006/relationships/hyperlink" Target="https://go.teamsnap.com/7282249/availability/attendance/144684201" TargetMode="External"/><Relationship Id="rId69" Type="http://schemas.openxmlformats.org/officeDocument/2006/relationships/hyperlink" Target="https://go.teamsnap.com/7282249/availability/attendance/113418536" TargetMode="External"/><Relationship Id="rId164" Type="http://schemas.openxmlformats.org/officeDocument/2006/relationships/hyperlink" Target="https://go.teamsnap.com/7282249/roster/player/144684201" TargetMode="External"/><Relationship Id="rId163" Type="http://schemas.openxmlformats.org/officeDocument/2006/relationships/hyperlink" Target="https://go.teamsnap.com/7282249/availability/attendance/123489521" TargetMode="External"/><Relationship Id="rId162" Type="http://schemas.openxmlformats.org/officeDocument/2006/relationships/hyperlink" Target="https://go.teamsnap.com/7282249/availability/attendance/123489521" TargetMode="External"/><Relationship Id="rId169" Type="http://schemas.openxmlformats.org/officeDocument/2006/relationships/hyperlink" Target="https://go.teamsnap.com/7282249/availability/attendance/102846181" TargetMode="External"/><Relationship Id="rId168" Type="http://schemas.openxmlformats.org/officeDocument/2006/relationships/hyperlink" Target="https://go.teamsnap.com/7282249/availability/attendance/95531162" TargetMode="External"/><Relationship Id="rId167" Type="http://schemas.openxmlformats.org/officeDocument/2006/relationships/hyperlink" Target="https://go.teamsnap.com/7282249/availability/attendance/95531162" TargetMode="External"/><Relationship Id="rId166" Type="http://schemas.openxmlformats.org/officeDocument/2006/relationships/hyperlink" Target="https://go.teamsnap.com/7282249/availability/attendance/144684201" TargetMode="External"/><Relationship Id="rId51" Type="http://schemas.openxmlformats.org/officeDocument/2006/relationships/hyperlink" Target="https://go.teamsnap.com/7282249/availability/attendance/96460927" TargetMode="External"/><Relationship Id="rId50" Type="http://schemas.openxmlformats.org/officeDocument/2006/relationships/hyperlink" Target="https://go.teamsnap.com/7282249/roster/player/96460927" TargetMode="External"/><Relationship Id="rId53" Type="http://schemas.openxmlformats.org/officeDocument/2006/relationships/hyperlink" Target="https://go.teamsnap.com/7282249/availability/attendance/96221786" TargetMode="External"/><Relationship Id="rId52" Type="http://schemas.openxmlformats.org/officeDocument/2006/relationships/hyperlink" Target="https://go.teamsnap.com/7282249/availability/attendance/96460927" TargetMode="External"/><Relationship Id="rId55" Type="http://schemas.openxmlformats.org/officeDocument/2006/relationships/hyperlink" Target="https://go.teamsnap.com/7282249/roster/player/110133334" TargetMode="External"/><Relationship Id="rId161" Type="http://schemas.openxmlformats.org/officeDocument/2006/relationships/hyperlink" Target="https://go.teamsnap.com/7282249/roster/player/123489521" TargetMode="External"/><Relationship Id="rId54" Type="http://schemas.openxmlformats.org/officeDocument/2006/relationships/hyperlink" Target="https://go.teamsnap.com/7282249/availability/attendance/96221786" TargetMode="External"/><Relationship Id="rId160" Type="http://schemas.openxmlformats.org/officeDocument/2006/relationships/hyperlink" Target="https://go.teamsnap.com/7282249/availability/attendance/137875642" TargetMode="External"/><Relationship Id="rId57" Type="http://schemas.openxmlformats.org/officeDocument/2006/relationships/hyperlink" Target="https://go.teamsnap.com/7282249/availability/attendance/110133334" TargetMode="External"/><Relationship Id="rId56" Type="http://schemas.openxmlformats.org/officeDocument/2006/relationships/hyperlink" Target="https://go.teamsnap.com/7282249/availability/attendance/110133334" TargetMode="External"/><Relationship Id="rId159" Type="http://schemas.openxmlformats.org/officeDocument/2006/relationships/hyperlink" Target="https://go.teamsnap.com/7282249/availability/attendance/137875642" TargetMode="External"/><Relationship Id="rId59" Type="http://schemas.openxmlformats.org/officeDocument/2006/relationships/hyperlink" Target="https://go.teamsnap.com/7282249/availability/attendance/95531137" TargetMode="External"/><Relationship Id="rId154" Type="http://schemas.openxmlformats.org/officeDocument/2006/relationships/hyperlink" Target="https://go.teamsnap.com/7282249/availability/attendance/145325164" TargetMode="External"/><Relationship Id="rId58" Type="http://schemas.openxmlformats.org/officeDocument/2006/relationships/hyperlink" Target="https://go.teamsnap.com/7282249/availability/attendance/95531137" TargetMode="External"/><Relationship Id="rId153" Type="http://schemas.openxmlformats.org/officeDocument/2006/relationships/hyperlink" Target="https://go.teamsnap.com/7282249/availability/attendance/145325164" TargetMode="External"/><Relationship Id="rId152" Type="http://schemas.openxmlformats.org/officeDocument/2006/relationships/hyperlink" Target="https://go.teamsnap.com/7282249/availability/attendance/131929487" TargetMode="External"/><Relationship Id="rId151" Type="http://schemas.openxmlformats.org/officeDocument/2006/relationships/hyperlink" Target="https://go.teamsnap.com/7282249/availability/attendance/131929487" TargetMode="External"/><Relationship Id="rId158" Type="http://schemas.openxmlformats.org/officeDocument/2006/relationships/hyperlink" Target="https://go.teamsnap.com/7282249/roster/player/137875642" TargetMode="External"/><Relationship Id="rId157" Type="http://schemas.openxmlformats.org/officeDocument/2006/relationships/hyperlink" Target="https://go.teamsnap.com/7282249/availability/attendance/144777862" TargetMode="External"/><Relationship Id="rId156" Type="http://schemas.openxmlformats.org/officeDocument/2006/relationships/hyperlink" Target="https://go.teamsnap.com/7282249/availability/attendance/144777862" TargetMode="External"/><Relationship Id="rId155" Type="http://schemas.openxmlformats.org/officeDocument/2006/relationships/hyperlink" Target="https://go.teamsnap.com/7282249/roster/player/144777862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Col="1" outlineLevelRow="1"/>
  <cols>
    <col customWidth="1" min="1" max="1" width="16.86" outlineLevel="1"/>
    <col customWidth="1" min="2" max="2" width="8.71" outlineLevel="1"/>
    <col customWidth="1" min="3" max="3" width="12.57" outlineLevel="1"/>
    <col customWidth="1" min="4" max="4" width="30.43" outlineLevel="1"/>
    <col customWidth="1" min="5" max="5" width="24.14" outlineLevel="1"/>
    <col customWidth="1" min="6" max="6" width="3.14" outlineLevel="1"/>
    <col customWidth="1" min="7" max="7" width="2.57" outlineLevel="1"/>
    <col customWidth="1" min="8" max="8" width="26.57" outlineLevel="1"/>
    <col customWidth="1" min="9" max="9" width="10.86"/>
    <col customWidth="1" min="10" max="10" width="3.86"/>
    <col customWidth="1" min="11" max="14" width="22.14"/>
  </cols>
  <sheetData>
    <row r="1" ht="33.0" customHeight="1">
      <c r="A1" s="1" t="s">
        <v>0</v>
      </c>
      <c r="B1" s="2"/>
      <c r="C1" s="2"/>
      <c r="D1" s="2"/>
      <c r="E1" s="2"/>
      <c r="I1" s="3" t="s">
        <v>1</v>
      </c>
    </row>
    <row r="2" ht="14.25" customHeight="1">
      <c r="A2" s="3" t="s">
        <v>2</v>
      </c>
    </row>
    <row r="3" ht="14.25" customHeight="1" outlineLevel="1">
      <c r="A3" s="4" t="s">
        <v>3</v>
      </c>
      <c r="B3" s="4"/>
      <c r="C3" s="4"/>
      <c r="D3" s="4" t="s">
        <v>4</v>
      </c>
      <c r="E3" s="4" t="s">
        <v>5</v>
      </c>
      <c r="F3" s="4"/>
      <c r="G3" s="4"/>
      <c r="H3" s="4" t="s">
        <v>6</v>
      </c>
    </row>
    <row r="4" ht="14.25" customHeight="1" outlineLevel="1">
      <c r="A4" s="5" t="s">
        <v>7</v>
      </c>
      <c r="B4" s="3">
        <v>1.0</v>
      </c>
    </row>
    <row r="5" ht="14.25" customHeight="1" outlineLevel="1">
      <c r="A5" s="3" t="s">
        <v>8</v>
      </c>
      <c r="B5" s="6">
        <v>7.0</v>
      </c>
      <c r="C5" s="3" t="s">
        <v>9</v>
      </c>
      <c r="D5" s="3" t="s">
        <v>10</v>
      </c>
      <c r="E5" s="3">
        <f t="shared" ref="E5:E6" si="1">B5</f>
        <v>7</v>
      </c>
    </row>
    <row r="6" ht="14.25" customHeight="1" outlineLevel="1">
      <c r="A6" s="3" t="s">
        <v>11</v>
      </c>
      <c r="B6" s="7">
        <v>3.0</v>
      </c>
      <c r="C6" s="8" t="s">
        <v>9</v>
      </c>
      <c r="D6" s="8" t="s">
        <v>12</v>
      </c>
      <c r="E6" s="3">
        <f t="shared" si="1"/>
        <v>3</v>
      </c>
      <c r="H6" s="3"/>
      <c r="I6" s="3"/>
    </row>
    <row r="7" outlineLevel="1">
      <c r="A7" s="3" t="s">
        <v>13</v>
      </c>
      <c r="B7" s="6">
        <v>7.0</v>
      </c>
      <c r="C7" s="3" t="s">
        <v>9</v>
      </c>
      <c r="D7" s="9" t="s">
        <v>14</v>
      </c>
      <c r="E7" s="3">
        <f t="shared" ref="E7:E8" si="2">B7*$B$4</f>
        <v>7</v>
      </c>
      <c r="H7" s="3"/>
      <c r="I7" s="3"/>
    </row>
    <row r="8" ht="14.25" customHeight="1" outlineLevel="1">
      <c r="A8" s="10" t="s">
        <v>11</v>
      </c>
      <c r="B8" s="11">
        <v>3.0</v>
      </c>
      <c r="C8" s="10" t="s">
        <v>9</v>
      </c>
      <c r="D8" s="10" t="s">
        <v>15</v>
      </c>
      <c r="E8" s="3">
        <f t="shared" si="2"/>
        <v>3</v>
      </c>
      <c r="H8" s="3"/>
      <c r="I8" s="3"/>
    </row>
    <row r="9" ht="14.25" customHeight="1" outlineLevel="1">
      <c r="E9" s="12">
        <f>+E7+E5+E8+E6</f>
        <v>20</v>
      </c>
      <c r="H9" s="3"/>
      <c r="I9" s="13"/>
    </row>
    <row r="10" ht="14.25" customHeight="1" outlineLevel="1"/>
    <row r="11" ht="14.25" customHeight="1" outlineLevel="1">
      <c r="A11" s="14" t="s">
        <v>16</v>
      </c>
      <c r="B11" s="6">
        <v>6.0</v>
      </c>
      <c r="C11" s="3" t="s">
        <v>17</v>
      </c>
      <c r="D11" s="3" t="s">
        <v>18</v>
      </c>
    </row>
    <row r="12" ht="14.25" customHeight="1" outlineLevel="1">
      <c r="A12" s="3" t="s">
        <v>13</v>
      </c>
      <c r="B12" s="6">
        <v>3.0</v>
      </c>
      <c r="C12" s="3" t="s">
        <v>9</v>
      </c>
      <c r="D12" s="6" t="s">
        <v>19</v>
      </c>
      <c r="E12" s="3">
        <f t="shared" ref="E12:E21" si="3">+B12*$B$11</f>
        <v>18</v>
      </c>
      <c r="G12" s="3"/>
      <c r="H12" s="3" t="s">
        <v>20</v>
      </c>
    </row>
    <row r="13" ht="14.25" customHeight="1" outlineLevel="1">
      <c r="A13" s="3" t="s">
        <v>13</v>
      </c>
      <c r="B13" s="15">
        <v>1.0</v>
      </c>
      <c r="C13" s="3" t="s">
        <v>9</v>
      </c>
      <c r="D13" s="6" t="s">
        <v>21</v>
      </c>
      <c r="E13" s="3">
        <f t="shared" si="3"/>
        <v>6</v>
      </c>
    </row>
    <row r="14" ht="14.25" customHeight="1" outlineLevel="1">
      <c r="A14" s="3" t="s">
        <v>13</v>
      </c>
      <c r="B14" s="15">
        <v>1.0</v>
      </c>
      <c r="C14" s="3" t="s">
        <v>9</v>
      </c>
      <c r="D14" s="6" t="s">
        <v>22</v>
      </c>
      <c r="E14" s="3">
        <f t="shared" si="3"/>
        <v>6</v>
      </c>
    </row>
    <row r="15" ht="14.25" customHeight="1" outlineLevel="1">
      <c r="A15" s="6" t="s">
        <v>11</v>
      </c>
      <c r="B15" s="16">
        <v>4.5</v>
      </c>
      <c r="C15" s="3" t="s">
        <v>9</v>
      </c>
      <c r="D15" s="3" t="s">
        <v>23</v>
      </c>
      <c r="E15" s="3">
        <f t="shared" si="3"/>
        <v>27</v>
      </c>
      <c r="H15" s="9"/>
    </row>
    <row r="16" ht="14.25" hidden="1" customHeight="1" outlineLevel="1">
      <c r="A16" s="3" t="s">
        <v>13</v>
      </c>
      <c r="B16" s="3">
        <v>0.0</v>
      </c>
      <c r="C16" s="3" t="s">
        <v>9</v>
      </c>
      <c r="D16" s="3" t="s">
        <v>24</v>
      </c>
      <c r="E16" s="3">
        <f t="shared" si="3"/>
        <v>0</v>
      </c>
    </row>
    <row r="17" ht="14.25" hidden="1" customHeight="1" outlineLevel="1">
      <c r="A17" s="3" t="s">
        <v>13</v>
      </c>
      <c r="B17" s="3">
        <v>0.0</v>
      </c>
      <c r="C17" s="3" t="s">
        <v>9</v>
      </c>
      <c r="D17" s="3" t="s">
        <v>25</v>
      </c>
      <c r="E17" s="3">
        <f t="shared" si="3"/>
        <v>0</v>
      </c>
    </row>
    <row r="18" ht="14.25" hidden="1" customHeight="1" outlineLevel="1">
      <c r="A18" s="3" t="s">
        <v>13</v>
      </c>
      <c r="B18" s="3">
        <v>0.0</v>
      </c>
      <c r="C18" s="3" t="s">
        <v>9</v>
      </c>
      <c r="D18" s="3" t="s">
        <v>26</v>
      </c>
      <c r="E18" s="3">
        <f t="shared" si="3"/>
        <v>0</v>
      </c>
    </row>
    <row r="19" ht="14.25" hidden="1" customHeight="1" outlineLevel="1">
      <c r="A19" s="3" t="s">
        <v>13</v>
      </c>
      <c r="B19" s="3">
        <v>0.0</v>
      </c>
      <c r="C19" s="3" t="s">
        <v>9</v>
      </c>
      <c r="D19" s="3" t="s">
        <v>27</v>
      </c>
      <c r="E19" s="3">
        <f t="shared" si="3"/>
        <v>0</v>
      </c>
    </row>
    <row r="20" ht="14.25" hidden="1" customHeight="1" outlineLevel="1">
      <c r="A20" s="3" t="s">
        <v>13</v>
      </c>
      <c r="B20" s="3">
        <v>0.0</v>
      </c>
      <c r="C20" s="3" t="s">
        <v>9</v>
      </c>
      <c r="D20" s="3" t="s">
        <v>28</v>
      </c>
      <c r="E20" s="3">
        <f t="shared" si="3"/>
        <v>0</v>
      </c>
    </row>
    <row r="21" ht="14.25" hidden="1" customHeight="1" outlineLevel="1">
      <c r="A21" s="3" t="s">
        <v>11</v>
      </c>
      <c r="B21" s="10">
        <v>0.0</v>
      </c>
      <c r="C21" s="10" t="s">
        <v>9</v>
      </c>
      <c r="D21" s="10" t="s">
        <v>23</v>
      </c>
      <c r="E21" s="3">
        <f t="shared" si="3"/>
        <v>0</v>
      </c>
    </row>
    <row r="22" ht="14.25" customHeight="1" outlineLevel="1">
      <c r="E22" s="12">
        <f>SUM(E12:E21)</f>
        <v>57</v>
      </c>
    </row>
    <row r="23" ht="14.25" customHeight="1" outlineLevel="1"/>
    <row r="24" ht="14.25" customHeight="1" outlineLevel="1">
      <c r="A24" s="17" t="s">
        <v>23</v>
      </c>
      <c r="B24" s="6">
        <v>1.0</v>
      </c>
      <c r="C24" s="3" t="s">
        <v>29</v>
      </c>
      <c r="D24" s="3"/>
    </row>
    <row r="25" ht="14.25" customHeight="1" outlineLevel="1">
      <c r="A25" s="10" t="s">
        <v>11</v>
      </c>
      <c r="B25" s="11">
        <v>4.0</v>
      </c>
      <c r="C25" s="10" t="s">
        <v>30</v>
      </c>
      <c r="D25" s="11" t="s">
        <v>31</v>
      </c>
      <c r="E25" s="10">
        <f>B25*B24</f>
        <v>4</v>
      </c>
      <c r="F25" s="8"/>
    </row>
    <row r="26" ht="14.25" customHeight="1" outlineLevel="1">
      <c r="E26" s="12">
        <f>E25</f>
        <v>4</v>
      </c>
    </row>
    <row r="27" ht="14.25" customHeight="1" outlineLevel="1"/>
    <row r="28" ht="14.25" customHeight="1" outlineLevel="1">
      <c r="A28" s="18" t="s">
        <v>32</v>
      </c>
      <c r="B28" s="19">
        <v>8.0</v>
      </c>
      <c r="C28" s="20"/>
      <c r="D28" s="20" t="s">
        <v>32</v>
      </c>
      <c r="E28" s="20"/>
    </row>
    <row r="29" ht="14.25" customHeight="1" outlineLevel="1">
      <c r="A29" s="21" t="s">
        <v>13</v>
      </c>
      <c r="B29" s="15">
        <v>20.0</v>
      </c>
      <c r="C29" s="21" t="s">
        <v>30</v>
      </c>
      <c r="D29" s="21" t="s">
        <v>33</v>
      </c>
      <c r="E29" s="3">
        <f t="shared" ref="E29:E30" si="4">+(B29*$B$28)/60</f>
        <v>2.666666667</v>
      </c>
    </row>
    <row r="30" ht="14.25" customHeight="1" outlineLevel="1">
      <c r="A30" s="22" t="s">
        <v>11</v>
      </c>
      <c r="B30" s="23">
        <v>10.0</v>
      </c>
      <c r="C30" s="22" t="s">
        <v>30</v>
      </c>
      <c r="D30" s="22" t="s">
        <v>23</v>
      </c>
      <c r="E30" s="3">
        <f t="shared" si="4"/>
        <v>1.333333333</v>
      </c>
    </row>
    <row r="31" ht="14.25" customHeight="1" outlineLevel="1">
      <c r="A31" s="20"/>
      <c r="B31" s="20"/>
      <c r="C31" s="20"/>
      <c r="D31" s="20"/>
      <c r="E31" s="24">
        <f>+E29+E30</f>
        <v>4</v>
      </c>
    </row>
    <row r="32" ht="14.25" hidden="1" customHeight="1" outlineLevel="1"/>
    <row r="33" ht="14.25" hidden="1" customHeight="1" outlineLevel="1"/>
    <row r="34" ht="14.25" hidden="1" customHeight="1" outlineLevel="1">
      <c r="A34" s="17" t="s">
        <v>34</v>
      </c>
      <c r="B34" s="6">
        <v>0.0</v>
      </c>
      <c r="C34" s="3" t="s">
        <v>35</v>
      </c>
      <c r="D34" s="3"/>
    </row>
    <row r="35" ht="14.25" hidden="1" customHeight="1" outlineLevel="1">
      <c r="A35" s="3" t="s">
        <v>13</v>
      </c>
      <c r="B35" s="3">
        <v>0.0</v>
      </c>
      <c r="C35" s="3" t="s">
        <v>9</v>
      </c>
      <c r="D35" s="3"/>
      <c r="E35" s="3">
        <f t="shared" ref="E35:E36" si="5">+B35*$B$34</f>
        <v>0</v>
      </c>
      <c r="H35" s="3"/>
    </row>
    <row r="36" ht="14.25" hidden="1" customHeight="1" outlineLevel="1">
      <c r="A36" s="10" t="s">
        <v>11</v>
      </c>
      <c r="B36" s="10">
        <v>10.0</v>
      </c>
      <c r="C36" s="10" t="s">
        <v>9</v>
      </c>
      <c r="D36" s="10" t="s">
        <v>23</v>
      </c>
      <c r="E36" s="10">
        <f t="shared" si="5"/>
        <v>0</v>
      </c>
      <c r="H36" s="3"/>
    </row>
    <row r="37" ht="14.25" hidden="1" customHeight="1" outlineLevel="1">
      <c r="E37" s="12">
        <f>+E35+E36</f>
        <v>0</v>
      </c>
    </row>
    <row r="38" ht="14.25" customHeight="1" outlineLevel="1"/>
    <row r="39" ht="14.25" customHeight="1" outlineLevel="1">
      <c r="A39" s="25" t="s">
        <v>36</v>
      </c>
      <c r="B39" s="15">
        <v>1.0</v>
      </c>
      <c r="C39" s="20"/>
      <c r="D39" s="20" t="s">
        <v>37</v>
      </c>
      <c r="E39" s="20"/>
    </row>
    <row r="40" ht="14.25" customHeight="1" outlineLevel="1">
      <c r="A40" s="22" t="s">
        <v>8</v>
      </c>
      <c r="B40" s="16">
        <v>5.0</v>
      </c>
      <c r="C40" s="22" t="s">
        <v>9</v>
      </c>
      <c r="D40" s="22" t="s">
        <v>38</v>
      </c>
      <c r="E40" s="26">
        <f>+B40*B39</f>
        <v>5</v>
      </c>
    </row>
    <row r="41" ht="14.25" customHeight="1" outlineLevel="1">
      <c r="A41" s="21"/>
      <c r="B41" s="21"/>
      <c r="C41" s="21"/>
      <c r="D41" s="21"/>
      <c r="E41" s="21"/>
    </row>
    <row r="42" ht="14.25" customHeight="1" outlineLevel="1">
      <c r="A42" s="20"/>
      <c r="B42" s="20"/>
      <c r="C42" s="20"/>
      <c r="D42" s="20"/>
      <c r="E42" s="27">
        <f>E40+E37+E31+E22+E9+E26</f>
        <v>90</v>
      </c>
    </row>
    <row r="43" ht="14.25" customHeight="1"/>
    <row r="44" ht="44.25" customHeight="1">
      <c r="A44" s="28" t="s">
        <v>39</v>
      </c>
    </row>
    <row r="45" ht="241.5" customHeight="1">
      <c r="A45" s="29" t="s">
        <v>40</v>
      </c>
    </row>
    <row r="46" ht="14.25" customHeight="1"/>
    <row r="47" ht="14.25" customHeight="1"/>
    <row r="48" ht="24.75" customHeight="1">
      <c r="A48" s="30" t="s">
        <v>41</v>
      </c>
      <c r="B48" s="31"/>
      <c r="C48" s="31"/>
      <c r="D48" s="31"/>
      <c r="E48" s="31"/>
    </row>
    <row r="49" ht="14.25" customHeight="1">
      <c r="A49" s="4" t="s">
        <v>3</v>
      </c>
      <c r="B49" s="4"/>
      <c r="C49" s="4"/>
      <c r="D49" s="4" t="s">
        <v>4</v>
      </c>
      <c r="E49" s="4" t="s">
        <v>5</v>
      </c>
      <c r="F49" s="4"/>
      <c r="G49" s="4"/>
      <c r="H49" s="4" t="s">
        <v>6</v>
      </c>
    </row>
    <row r="50" ht="14.25" customHeight="1">
      <c r="A50" s="3" t="s">
        <v>42</v>
      </c>
    </row>
    <row r="51" ht="14.25" customHeight="1">
      <c r="A51" s="3" t="s">
        <v>3</v>
      </c>
      <c r="D51" s="3" t="s">
        <v>4</v>
      </c>
      <c r="E51" s="3" t="s">
        <v>5</v>
      </c>
    </row>
    <row r="52" ht="14.25" customHeight="1">
      <c r="A52" s="5" t="s">
        <v>7</v>
      </c>
      <c r="B52" s="3">
        <v>1.0</v>
      </c>
    </row>
    <row r="53" ht="14.25" customHeight="1">
      <c r="A53" s="3" t="s">
        <v>8</v>
      </c>
      <c r="B53" s="3">
        <v>5.0</v>
      </c>
      <c r="C53" s="3" t="s">
        <v>9</v>
      </c>
      <c r="D53" s="3" t="s">
        <v>10</v>
      </c>
      <c r="E53" s="3">
        <f t="shared" ref="E53:E54" si="6">B53*B$52</f>
        <v>5</v>
      </c>
    </row>
    <row r="54" ht="14.25" customHeight="1">
      <c r="A54" s="10" t="s">
        <v>11</v>
      </c>
      <c r="B54" s="10">
        <v>2.0</v>
      </c>
      <c r="C54" s="10" t="s">
        <v>9</v>
      </c>
      <c r="D54" s="10" t="s">
        <v>43</v>
      </c>
      <c r="E54" s="3">
        <f t="shared" si="6"/>
        <v>2</v>
      </c>
    </row>
    <row r="55" ht="14.25" customHeight="1">
      <c r="E55" s="12">
        <f>+E54+E53</f>
        <v>7</v>
      </c>
    </row>
    <row r="56" ht="14.25" customHeight="1"/>
    <row r="57" ht="14.25" customHeight="1">
      <c r="A57" s="5" t="s">
        <v>44</v>
      </c>
      <c r="B57" s="3">
        <v>1.0</v>
      </c>
      <c r="C57" s="3" t="s">
        <v>17</v>
      </c>
      <c r="D57" s="3" t="s">
        <v>45</v>
      </c>
    </row>
    <row r="58" ht="14.25" customHeight="1">
      <c r="A58" s="3" t="s">
        <v>13</v>
      </c>
      <c r="B58" s="3">
        <v>30.0</v>
      </c>
      <c r="C58" s="3" t="s">
        <v>9</v>
      </c>
      <c r="D58" s="3" t="s">
        <v>46</v>
      </c>
      <c r="E58" s="3">
        <f t="shared" ref="E58:E59" si="7">+B58*B$57</f>
        <v>30</v>
      </c>
    </row>
    <row r="59" ht="14.25" customHeight="1">
      <c r="A59" s="3" t="s">
        <v>11</v>
      </c>
      <c r="B59" s="3">
        <v>2.0</v>
      </c>
      <c r="C59" s="3" t="s">
        <v>9</v>
      </c>
      <c r="D59" s="3" t="s">
        <v>23</v>
      </c>
      <c r="E59" s="3">
        <f t="shared" si="7"/>
        <v>2</v>
      </c>
    </row>
    <row r="60" ht="14.25" customHeight="1">
      <c r="E60" s="32">
        <f>+SUM(E58:E59)</f>
        <v>32</v>
      </c>
    </row>
    <row r="61" ht="14.25" customHeight="1"/>
    <row r="62" ht="14.25" customHeight="1">
      <c r="A62" s="5" t="s">
        <v>47</v>
      </c>
      <c r="B62" s="3">
        <v>2.0</v>
      </c>
      <c r="C62" s="3" t="s">
        <v>48</v>
      </c>
      <c r="D62" s="3"/>
    </row>
    <row r="63" ht="14.25" customHeight="1">
      <c r="A63" s="3" t="s">
        <v>13</v>
      </c>
      <c r="B63" s="3">
        <v>5.0</v>
      </c>
      <c r="C63" s="3" t="s">
        <v>9</v>
      </c>
      <c r="D63" s="3" t="s">
        <v>48</v>
      </c>
      <c r="E63" s="3">
        <f t="shared" ref="E63:E64" si="8">+B63*B$62</f>
        <v>10</v>
      </c>
    </row>
    <row r="64" ht="14.25" customHeight="1">
      <c r="A64" s="10" t="s">
        <v>11</v>
      </c>
      <c r="B64" s="10">
        <v>2.0</v>
      </c>
      <c r="C64" s="10" t="s">
        <v>9</v>
      </c>
      <c r="D64" s="10" t="s">
        <v>23</v>
      </c>
      <c r="E64" s="3">
        <f t="shared" si="8"/>
        <v>4</v>
      </c>
    </row>
    <row r="65" ht="14.25" customHeight="1">
      <c r="E65" s="12">
        <f>+E64+E63</f>
        <v>14</v>
      </c>
    </row>
    <row r="66" ht="14.25" customHeight="1">
      <c r="A66" s="5"/>
      <c r="B66" s="3"/>
      <c r="C66" s="3"/>
      <c r="D66" s="3"/>
    </row>
    <row r="67" ht="14.25" customHeight="1">
      <c r="A67" s="5" t="s">
        <v>47</v>
      </c>
      <c r="B67" s="3">
        <v>1.0</v>
      </c>
      <c r="C67" s="3" t="s">
        <v>49</v>
      </c>
      <c r="D67" s="3"/>
    </row>
    <row r="68" ht="14.25" customHeight="1">
      <c r="A68" s="3" t="s">
        <v>13</v>
      </c>
      <c r="B68" s="3">
        <v>12.0</v>
      </c>
      <c r="C68" s="3" t="s">
        <v>9</v>
      </c>
      <c r="D68" s="3"/>
      <c r="E68" s="3">
        <f t="shared" ref="E68:E69" si="9">+B68*B$67</f>
        <v>12</v>
      </c>
    </row>
    <row r="69" ht="14.25" customHeight="1">
      <c r="A69" s="10" t="s">
        <v>11</v>
      </c>
      <c r="B69" s="10">
        <v>2.0</v>
      </c>
      <c r="C69" s="10" t="s">
        <v>9</v>
      </c>
      <c r="D69" s="10" t="s">
        <v>23</v>
      </c>
      <c r="E69" s="3">
        <f t="shared" si="9"/>
        <v>2</v>
      </c>
    </row>
    <row r="70" ht="14.25" customHeight="1">
      <c r="E70" s="12">
        <f>+E69+E68</f>
        <v>14</v>
      </c>
    </row>
    <row r="71" ht="14.25" customHeight="1">
      <c r="A71" s="5"/>
      <c r="B71" s="3"/>
      <c r="C71" s="3"/>
      <c r="D71" s="3"/>
    </row>
    <row r="72" ht="14.25" customHeight="1">
      <c r="A72" s="5" t="s">
        <v>50</v>
      </c>
      <c r="B72" s="3">
        <v>3.0</v>
      </c>
      <c r="C72" s="3" t="s">
        <v>48</v>
      </c>
      <c r="D72" s="3"/>
    </row>
    <row r="73" ht="14.25" customHeight="1">
      <c r="A73" s="3" t="s">
        <v>13</v>
      </c>
      <c r="B73" s="3">
        <v>5.0</v>
      </c>
      <c r="C73" s="3" t="s">
        <v>9</v>
      </c>
      <c r="D73" s="3" t="s">
        <v>48</v>
      </c>
      <c r="E73" s="3">
        <f t="shared" ref="E73:E74" si="10">+B73*B$72</f>
        <v>15</v>
      </c>
    </row>
    <row r="74" ht="14.25" customHeight="1">
      <c r="A74" s="10" t="s">
        <v>11</v>
      </c>
      <c r="B74" s="10">
        <v>2.0</v>
      </c>
      <c r="C74" s="10" t="s">
        <v>9</v>
      </c>
      <c r="D74" s="10" t="s">
        <v>51</v>
      </c>
      <c r="E74" s="3">
        <f t="shared" si="10"/>
        <v>6</v>
      </c>
    </row>
    <row r="75" ht="14.25" customHeight="1">
      <c r="E75" s="12">
        <f>+E73+E74</f>
        <v>21</v>
      </c>
    </row>
    <row r="76" ht="14.25" customHeight="1"/>
    <row r="77" ht="14.25" customHeight="1"/>
    <row r="78" ht="14.25" customHeight="1">
      <c r="A78" s="5" t="s">
        <v>36</v>
      </c>
      <c r="B78" s="3">
        <v>1.0</v>
      </c>
      <c r="C78" s="3"/>
      <c r="D78" s="3" t="s">
        <v>37</v>
      </c>
      <c r="E78" s="3"/>
    </row>
    <row r="79" ht="14.25" customHeight="1">
      <c r="A79" s="10" t="s">
        <v>8</v>
      </c>
      <c r="B79" s="10">
        <v>1.0</v>
      </c>
      <c r="C79" s="10" t="s">
        <v>9</v>
      </c>
      <c r="D79" s="10" t="s">
        <v>24</v>
      </c>
      <c r="E79" s="33">
        <f>+B79*B78</f>
        <v>1</v>
      </c>
    </row>
    <row r="80" ht="14.25" customHeight="1"/>
    <row r="81" ht="14.25" customHeight="1">
      <c r="E81" s="34">
        <f>E79+E65+E55+E60+E75+E70</f>
        <v>89</v>
      </c>
    </row>
    <row r="82" ht="14.25" customHeight="1"/>
    <row r="83" ht="14.25" customHeight="1"/>
    <row r="84" ht="27.75" customHeight="1">
      <c r="A84" s="28" t="s">
        <v>52</v>
      </c>
    </row>
    <row r="85" ht="14.25" customHeight="1">
      <c r="A85" s="29" t="s">
        <v>53</v>
      </c>
    </row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73.5" customHeight="1"/>
    <row r="94" ht="14.25" customHeight="1"/>
    <row r="95" ht="14.25" customHeight="1"/>
    <row r="96" ht="14.25" customHeight="1"/>
    <row r="97" ht="14.25" customHeight="1"/>
    <row r="98" ht="3.75" customHeight="1"/>
    <row r="99" ht="30.0" customHeight="1">
      <c r="A99" s="30" t="s">
        <v>54</v>
      </c>
      <c r="B99" s="31"/>
      <c r="C99" s="31"/>
      <c r="D99" s="31"/>
      <c r="E99" s="31"/>
    </row>
    <row r="100" ht="14.25" customHeight="1">
      <c r="A100" s="4" t="s">
        <v>3</v>
      </c>
      <c r="B100" s="4"/>
      <c r="C100" s="4"/>
      <c r="D100" s="4" t="s">
        <v>4</v>
      </c>
      <c r="E100" s="4" t="s">
        <v>5</v>
      </c>
    </row>
    <row r="101" ht="14.25" customHeight="1">
      <c r="A101" s="3" t="s">
        <v>42</v>
      </c>
    </row>
    <row r="102" ht="14.25" customHeight="1">
      <c r="A102" s="3" t="s">
        <v>3</v>
      </c>
      <c r="D102" s="3" t="s">
        <v>4</v>
      </c>
      <c r="E102" s="3" t="s">
        <v>5</v>
      </c>
    </row>
    <row r="103" ht="14.25" customHeight="1">
      <c r="A103" s="5" t="s">
        <v>7</v>
      </c>
      <c r="B103" s="3">
        <v>1.0</v>
      </c>
    </row>
    <row r="104" ht="14.25" customHeight="1">
      <c r="A104" s="3" t="s">
        <v>8</v>
      </c>
      <c r="B104" s="3">
        <v>5.0</v>
      </c>
      <c r="C104" s="3" t="s">
        <v>9</v>
      </c>
      <c r="D104" s="3" t="s">
        <v>10</v>
      </c>
      <c r="E104" s="3">
        <f t="shared" ref="E104:E106" si="11">B104*B$103</f>
        <v>5</v>
      </c>
    </row>
    <row r="105" ht="14.25" customHeight="1">
      <c r="A105" s="3" t="s">
        <v>13</v>
      </c>
      <c r="B105" s="3">
        <v>7.0</v>
      </c>
      <c r="C105" s="3" t="s">
        <v>9</v>
      </c>
      <c r="D105" s="3" t="s">
        <v>29</v>
      </c>
      <c r="E105" s="3">
        <f t="shared" si="11"/>
        <v>7</v>
      </c>
    </row>
    <row r="106" ht="14.25" customHeight="1">
      <c r="A106" s="10" t="s">
        <v>11</v>
      </c>
      <c r="B106" s="10">
        <v>3.0</v>
      </c>
      <c r="C106" s="10" t="s">
        <v>9</v>
      </c>
      <c r="D106" s="10" t="s">
        <v>23</v>
      </c>
      <c r="E106" s="3">
        <f t="shared" si="11"/>
        <v>3</v>
      </c>
    </row>
    <row r="107" ht="14.25" customHeight="1">
      <c r="E107" s="12">
        <f>+E106+E105+E104</f>
        <v>15</v>
      </c>
    </row>
    <row r="108" ht="14.25" customHeight="1"/>
    <row r="109" ht="14.25" customHeight="1">
      <c r="A109" s="5" t="s">
        <v>44</v>
      </c>
      <c r="B109" s="3">
        <v>5.0</v>
      </c>
      <c r="C109" s="3" t="s">
        <v>17</v>
      </c>
      <c r="D109" s="3" t="s">
        <v>55</v>
      </c>
    </row>
    <row r="110" ht="14.25" customHeight="1">
      <c r="A110" s="3" t="s">
        <v>13</v>
      </c>
      <c r="B110" s="3">
        <v>9.0</v>
      </c>
      <c r="C110" s="3" t="s">
        <v>9</v>
      </c>
      <c r="D110" s="3" t="s">
        <v>56</v>
      </c>
      <c r="E110" s="3">
        <f t="shared" ref="E110:E111" si="12">+B110*B$109</f>
        <v>45</v>
      </c>
    </row>
    <row r="111" ht="14.25" customHeight="1">
      <c r="A111" s="10" t="s">
        <v>11</v>
      </c>
      <c r="B111" s="10">
        <v>4.5</v>
      </c>
      <c r="C111" s="10" t="s">
        <v>9</v>
      </c>
      <c r="D111" s="10" t="s">
        <v>23</v>
      </c>
      <c r="E111" s="3">
        <f t="shared" si="12"/>
        <v>22.5</v>
      </c>
    </row>
    <row r="112" ht="14.25" customHeight="1">
      <c r="E112" s="32">
        <f>+SUM(E110:E111)</f>
        <v>67.5</v>
      </c>
    </row>
    <row r="113" ht="14.25" customHeight="1"/>
    <row r="114" ht="14.25" customHeight="1"/>
    <row r="115" ht="14.25" customHeight="1"/>
    <row r="116" ht="14.25" customHeight="1">
      <c r="A116" s="5" t="s">
        <v>36</v>
      </c>
      <c r="B116" s="3">
        <v>1.0</v>
      </c>
      <c r="C116" s="3"/>
      <c r="D116" s="3" t="s">
        <v>37</v>
      </c>
      <c r="E116" s="3"/>
    </row>
    <row r="117" ht="14.25" customHeight="1">
      <c r="A117" s="10" t="s">
        <v>8</v>
      </c>
      <c r="B117" s="10">
        <v>5.0</v>
      </c>
      <c r="C117" s="10" t="s">
        <v>9</v>
      </c>
      <c r="D117" s="10" t="s">
        <v>24</v>
      </c>
      <c r="E117" s="33">
        <f>+B117*B116</f>
        <v>5</v>
      </c>
    </row>
    <row r="118" ht="14.25" customHeight="1"/>
    <row r="119" ht="14.25" customHeight="1">
      <c r="E119" s="34">
        <f>E117+E107+E112</f>
        <v>87.5</v>
      </c>
    </row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>
      <c r="A128" s="8" t="s">
        <v>57</v>
      </c>
    </row>
    <row r="129" ht="14.25" customHeight="1"/>
    <row r="130" ht="72.0" customHeight="1">
      <c r="A130" s="8" t="s">
        <v>58</v>
      </c>
    </row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mergeCells count="3">
    <mergeCell ref="A45:E45"/>
    <mergeCell ref="A85:E94"/>
    <mergeCell ref="A130:H19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42.0"/>
    <col customWidth="1" min="3" max="3" width="36.71"/>
    <col customWidth="1" min="4" max="4" width="14.57"/>
    <col customWidth="1" min="5" max="5" width="24.43"/>
    <col customWidth="1" min="6" max="7" width="26.57"/>
    <col customWidth="1" min="8" max="8" width="19.71"/>
    <col customWidth="1" min="9" max="9" width="17.43"/>
    <col customWidth="1" min="12" max="12" width="27.14"/>
    <col customWidth="1" min="16" max="16" width="20.0"/>
    <col customWidth="1" min="17" max="17" width="21.0"/>
  </cols>
  <sheetData>
    <row r="1">
      <c r="C1" s="35" t="s">
        <v>59</v>
      </c>
      <c r="D1" s="35" t="s">
        <v>60</v>
      </c>
      <c r="E1" s="35" t="s">
        <v>61</v>
      </c>
      <c r="F1" s="35" t="s">
        <v>62</v>
      </c>
      <c r="G1" s="35" t="s">
        <v>63</v>
      </c>
      <c r="J1" s="8" t="s">
        <v>64</v>
      </c>
      <c r="K1" s="8" t="s">
        <v>65</v>
      </c>
    </row>
    <row r="2">
      <c r="A2" s="36" t="s">
        <v>66</v>
      </c>
      <c r="B2" s="37" t="s">
        <v>67</v>
      </c>
      <c r="C2" s="38" t="s">
        <v>68</v>
      </c>
      <c r="D2" s="38" t="s">
        <v>69</v>
      </c>
      <c r="E2" s="38" t="s">
        <v>70</v>
      </c>
      <c r="F2" s="38" t="s">
        <v>71</v>
      </c>
      <c r="G2" s="38" t="s">
        <v>72</v>
      </c>
      <c r="L2" s="39" t="s">
        <v>73</v>
      </c>
      <c r="M2" s="39" t="s">
        <v>74</v>
      </c>
      <c r="N2" s="39" t="s">
        <v>75</v>
      </c>
      <c r="O2" s="39" t="s">
        <v>76</v>
      </c>
      <c r="P2" s="39" t="s">
        <v>77</v>
      </c>
      <c r="Q2" s="39" t="s">
        <v>78</v>
      </c>
    </row>
    <row r="3">
      <c r="A3" s="40" t="s">
        <v>79</v>
      </c>
      <c r="B3" s="41" t="s">
        <v>80</v>
      </c>
      <c r="C3" s="42" t="str">
        <f t="shared" ref="C3:C49" si="1">xlookup(B3,$L$106:$L$121,$K$106:$K$121,"No")</f>
        <v>Yes</v>
      </c>
      <c r="D3" s="42" t="s">
        <v>81</v>
      </c>
      <c r="E3" s="42" t="s">
        <v>82</v>
      </c>
      <c r="F3" s="42" t="s">
        <v>82</v>
      </c>
      <c r="G3" s="43"/>
      <c r="H3" s="42" t="s">
        <v>80</v>
      </c>
      <c r="L3" s="44" t="s">
        <v>83</v>
      </c>
      <c r="M3" s="39" t="s">
        <v>81</v>
      </c>
      <c r="N3" s="39" t="s">
        <v>81</v>
      </c>
      <c r="O3" s="45"/>
      <c r="P3" s="39" t="s">
        <v>81</v>
      </c>
      <c r="Q3" s="45"/>
    </row>
    <row r="4">
      <c r="A4" s="46"/>
      <c r="B4" s="46" t="s">
        <v>84</v>
      </c>
      <c r="C4" s="42" t="str">
        <f t="shared" si="1"/>
        <v>No</v>
      </c>
      <c r="D4" s="42" t="s">
        <v>85</v>
      </c>
      <c r="E4" s="42" t="s">
        <v>85</v>
      </c>
      <c r="F4" s="42" t="s">
        <v>85</v>
      </c>
      <c r="G4" s="42" t="s">
        <v>82</v>
      </c>
      <c r="H4" s="42" t="s">
        <v>84</v>
      </c>
      <c r="L4" s="44" t="s">
        <v>86</v>
      </c>
      <c r="M4" s="39" t="s">
        <v>85</v>
      </c>
      <c r="N4" s="39" t="s">
        <v>85</v>
      </c>
      <c r="O4" s="39" t="s">
        <v>85</v>
      </c>
      <c r="P4" s="39" t="s">
        <v>85</v>
      </c>
      <c r="Q4" s="39" t="s">
        <v>85</v>
      </c>
    </row>
    <row r="5">
      <c r="A5" s="46"/>
      <c r="B5" s="46" t="s">
        <v>87</v>
      </c>
      <c r="C5" s="42" t="str">
        <f t="shared" si="1"/>
        <v>No</v>
      </c>
      <c r="D5" s="43"/>
      <c r="E5" s="43"/>
      <c r="F5" s="43"/>
      <c r="G5" s="43"/>
      <c r="H5" s="42" t="s">
        <v>87</v>
      </c>
      <c r="L5" s="44" t="s">
        <v>88</v>
      </c>
      <c r="M5" s="39" t="s">
        <v>85</v>
      </c>
      <c r="N5" s="45"/>
      <c r="O5" s="45"/>
      <c r="P5" s="45"/>
      <c r="Q5" s="45"/>
    </row>
    <row r="6">
      <c r="A6" s="40" t="s">
        <v>89</v>
      </c>
      <c r="B6" s="46" t="s">
        <v>90</v>
      </c>
      <c r="C6" s="42" t="str">
        <f t="shared" si="1"/>
        <v>Yes</v>
      </c>
      <c r="D6" s="43" t="s">
        <v>85</v>
      </c>
      <c r="E6" s="43"/>
      <c r="F6" s="43"/>
      <c r="G6" s="43"/>
      <c r="H6" s="42" t="s">
        <v>90</v>
      </c>
      <c r="L6" s="44" t="s">
        <v>91</v>
      </c>
      <c r="M6" s="39" t="s">
        <v>81</v>
      </c>
      <c r="N6" s="39" t="s">
        <v>81</v>
      </c>
      <c r="O6" s="39" t="s">
        <v>81</v>
      </c>
      <c r="P6" s="39" t="s">
        <v>82</v>
      </c>
      <c r="Q6" s="45"/>
    </row>
    <row r="7">
      <c r="A7" s="40" t="s">
        <v>89</v>
      </c>
      <c r="B7" s="46" t="s">
        <v>92</v>
      </c>
      <c r="C7" s="42" t="str">
        <f t="shared" si="1"/>
        <v>Yes</v>
      </c>
      <c r="D7" s="43" t="s">
        <v>81</v>
      </c>
      <c r="E7" s="43"/>
      <c r="F7" s="43"/>
      <c r="G7" s="43"/>
      <c r="H7" s="47" t="s">
        <v>92</v>
      </c>
      <c r="J7" s="8" t="s">
        <v>93</v>
      </c>
      <c r="L7" s="44" t="s">
        <v>94</v>
      </c>
      <c r="M7" s="39" t="s">
        <v>81</v>
      </c>
      <c r="N7" s="45"/>
      <c r="O7" s="45"/>
      <c r="P7" s="45"/>
      <c r="Q7" s="45"/>
    </row>
    <row r="8">
      <c r="A8" s="40"/>
      <c r="B8" s="46" t="s">
        <v>95</v>
      </c>
      <c r="C8" s="42" t="str">
        <f t="shared" si="1"/>
        <v>No</v>
      </c>
      <c r="D8" s="42" t="s">
        <v>81</v>
      </c>
      <c r="E8" s="42" t="s">
        <v>82</v>
      </c>
      <c r="F8" s="43"/>
      <c r="G8" s="43"/>
      <c r="H8" s="48" t="s">
        <v>95</v>
      </c>
      <c r="I8" s="8" t="s">
        <v>96</v>
      </c>
      <c r="K8" s="8" t="s">
        <v>97</v>
      </c>
      <c r="L8" s="44" t="s">
        <v>98</v>
      </c>
      <c r="M8" s="39" t="s">
        <v>81</v>
      </c>
      <c r="N8" s="39" t="s">
        <v>81</v>
      </c>
      <c r="O8" s="39" t="s">
        <v>82</v>
      </c>
      <c r="P8" s="39" t="s">
        <v>82</v>
      </c>
      <c r="Q8" s="39" t="s">
        <v>85</v>
      </c>
    </row>
    <row r="9">
      <c r="A9" s="40" t="s">
        <v>99</v>
      </c>
      <c r="B9" s="46" t="s">
        <v>100</v>
      </c>
      <c r="C9" s="42" t="str">
        <f t="shared" si="1"/>
        <v>No</v>
      </c>
      <c r="D9" s="42" t="s">
        <v>85</v>
      </c>
      <c r="E9" s="43"/>
      <c r="F9" s="43"/>
      <c r="G9" s="43"/>
      <c r="H9" s="42" t="s">
        <v>100</v>
      </c>
      <c r="L9" s="44" t="s">
        <v>101</v>
      </c>
      <c r="M9" s="39" t="s">
        <v>81</v>
      </c>
      <c r="N9" s="45"/>
      <c r="O9" s="45"/>
      <c r="P9" s="45"/>
      <c r="Q9" s="45"/>
    </row>
    <row r="10">
      <c r="A10" s="46"/>
      <c r="B10" s="46" t="s">
        <v>102</v>
      </c>
      <c r="C10" s="42" t="str">
        <f t="shared" si="1"/>
        <v>No</v>
      </c>
      <c r="D10" s="43" t="s">
        <v>85</v>
      </c>
      <c r="E10" s="42" t="s">
        <v>85</v>
      </c>
      <c r="F10" s="42" t="s">
        <v>85</v>
      </c>
      <c r="G10" s="42" t="s">
        <v>85</v>
      </c>
      <c r="H10" s="42" t="s">
        <v>102</v>
      </c>
      <c r="L10" s="44" t="s">
        <v>103</v>
      </c>
      <c r="M10" s="39" t="s">
        <v>85</v>
      </c>
      <c r="N10" s="39" t="s">
        <v>85</v>
      </c>
      <c r="O10" s="39" t="s">
        <v>85</v>
      </c>
      <c r="P10" s="39" t="s">
        <v>85</v>
      </c>
      <c r="Q10" s="39" t="s">
        <v>85</v>
      </c>
    </row>
    <row r="11">
      <c r="A11" s="46"/>
      <c r="B11" s="46" t="s">
        <v>104</v>
      </c>
      <c r="C11" s="42" t="str">
        <f t="shared" si="1"/>
        <v>No</v>
      </c>
      <c r="D11" s="42" t="s">
        <v>85</v>
      </c>
      <c r="E11" s="42" t="s">
        <v>85</v>
      </c>
      <c r="F11" s="42" t="s">
        <v>81</v>
      </c>
      <c r="G11" s="42" t="s">
        <v>81</v>
      </c>
      <c r="H11" s="42" t="s">
        <v>104</v>
      </c>
      <c r="L11" s="44" t="s">
        <v>105</v>
      </c>
      <c r="M11" s="39" t="s">
        <v>81</v>
      </c>
      <c r="N11" s="39" t="s">
        <v>81</v>
      </c>
      <c r="O11" s="39" t="s">
        <v>82</v>
      </c>
      <c r="P11" s="39" t="s">
        <v>85</v>
      </c>
      <c r="Q11" s="39" t="s">
        <v>81</v>
      </c>
    </row>
    <row r="12">
      <c r="A12" s="46"/>
      <c r="B12" s="46" t="s">
        <v>106</v>
      </c>
      <c r="C12" s="42" t="str">
        <f t="shared" si="1"/>
        <v>No</v>
      </c>
      <c r="D12" s="43"/>
      <c r="E12" s="43"/>
      <c r="F12" s="43"/>
      <c r="G12" s="43"/>
      <c r="H12" s="42" t="s">
        <v>106</v>
      </c>
      <c r="L12" s="44" t="s">
        <v>107</v>
      </c>
      <c r="M12" s="45"/>
      <c r="N12" s="45"/>
      <c r="O12" s="45"/>
      <c r="P12" s="45"/>
      <c r="Q12" s="45"/>
    </row>
    <row r="13">
      <c r="A13" s="40" t="s">
        <v>89</v>
      </c>
      <c r="B13" s="46" t="s">
        <v>108</v>
      </c>
      <c r="C13" s="42" t="str">
        <f t="shared" si="1"/>
        <v>Yes</v>
      </c>
      <c r="D13" s="43" t="s">
        <v>81</v>
      </c>
      <c r="E13" s="43"/>
      <c r="F13" s="43"/>
      <c r="G13" s="43"/>
      <c r="H13" s="47" t="s">
        <v>108</v>
      </c>
      <c r="J13" s="8" t="s">
        <v>109</v>
      </c>
      <c r="L13" s="44" t="s">
        <v>110</v>
      </c>
      <c r="M13" s="39" t="s">
        <v>85</v>
      </c>
      <c r="N13" s="39" t="s">
        <v>85</v>
      </c>
      <c r="O13" s="45"/>
      <c r="P13" s="45"/>
      <c r="Q13" s="45"/>
    </row>
    <row r="14">
      <c r="A14" s="46"/>
      <c r="B14" s="46" t="s">
        <v>111</v>
      </c>
      <c r="C14" s="42" t="str">
        <f t="shared" si="1"/>
        <v>No</v>
      </c>
      <c r="D14" s="42" t="s">
        <v>81</v>
      </c>
      <c r="E14" s="42" t="s">
        <v>85</v>
      </c>
      <c r="F14" s="43"/>
      <c r="G14" s="43"/>
      <c r="H14" s="42" t="s">
        <v>111</v>
      </c>
      <c r="L14" s="44" t="s">
        <v>112</v>
      </c>
      <c r="M14" s="39" t="s">
        <v>85</v>
      </c>
      <c r="N14" s="39" t="s">
        <v>81</v>
      </c>
      <c r="O14" s="45"/>
      <c r="P14" s="45"/>
      <c r="Q14" s="39" t="s">
        <v>85</v>
      </c>
    </row>
    <row r="15">
      <c r="A15" s="46"/>
      <c r="B15" s="46" t="s">
        <v>113</v>
      </c>
      <c r="C15" s="42" t="str">
        <f t="shared" si="1"/>
        <v>No</v>
      </c>
      <c r="D15" s="43"/>
      <c r="E15" s="43"/>
      <c r="F15" s="43"/>
      <c r="G15" s="43"/>
      <c r="H15" s="42" t="s">
        <v>113</v>
      </c>
      <c r="L15" s="44" t="s">
        <v>114</v>
      </c>
      <c r="M15" s="39" t="s">
        <v>85</v>
      </c>
      <c r="N15" s="45"/>
      <c r="O15" s="45"/>
      <c r="P15" s="45"/>
      <c r="Q15" s="45"/>
    </row>
    <row r="16">
      <c r="A16" s="46"/>
      <c r="B16" s="46" t="s">
        <v>115</v>
      </c>
      <c r="C16" s="42" t="str">
        <f t="shared" si="1"/>
        <v>No</v>
      </c>
      <c r="D16" s="43" t="s">
        <v>85</v>
      </c>
      <c r="E16" s="43"/>
      <c r="F16" s="43"/>
      <c r="G16" s="43"/>
      <c r="H16" s="42" t="s">
        <v>115</v>
      </c>
      <c r="L16" s="44" t="s">
        <v>116</v>
      </c>
      <c r="M16" s="39" t="s">
        <v>85</v>
      </c>
      <c r="N16" s="45"/>
      <c r="O16" s="45"/>
      <c r="P16" s="45"/>
      <c r="Q16" s="45"/>
    </row>
    <row r="17">
      <c r="A17" s="46"/>
      <c r="B17" s="46" t="s">
        <v>117</v>
      </c>
      <c r="C17" s="42" t="str">
        <f t="shared" si="1"/>
        <v>No</v>
      </c>
      <c r="D17" s="43"/>
      <c r="E17" s="43"/>
      <c r="F17" s="43"/>
      <c r="G17" s="43"/>
      <c r="H17" s="42" t="s">
        <v>117</v>
      </c>
      <c r="L17" s="44" t="s">
        <v>118</v>
      </c>
      <c r="M17" s="45"/>
      <c r="N17" s="45"/>
      <c r="O17" s="45"/>
      <c r="P17" s="45"/>
      <c r="Q17" s="45"/>
    </row>
    <row r="18">
      <c r="A18" s="40" t="s">
        <v>119</v>
      </c>
      <c r="B18" s="46" t="s">
        <v>120</v>
      </c>
      <c r="C18" s="42" t="str">
        <f t="shared" si="1"/>
        <v>No</v>
      </c>
      <c r="D18" s="43" t="s">
        <v>81</v>
      </c>
      <c r="E18" s="43"/>
      <c r="F18" s="43"/>
      <c r="G18" s="43"/>
      <c r="H18" s="42" t="s">
        <v>120</v>
      </c>
      <c r="L18" s="44" t="s">
        <v>121</v>
      </c>
      <c r="M18" s="39" t="s">
        <v>81</v>
      </c>
      <c r="N18" s="39" t="s">
        <v>81</v>
      </c>
      <c r="O18" s="39" t="s">
        <v>81</v>
      </c>
      <c r="P18" s="45"/>
      <c r="Q18" s="45"/>
    </row>
    <row r="19">
      <c r="A19" s="46"/>
      <c r="B19" s="46" t="s">
        <v>122</v>
      </c>
      <c r="C19" s="42" t="str">
        <f t="shared" si="1"/>
        <v>No</v>
      </c>
      <c r="D19" s="42" t="s">
        <v>81</v>
      </c>
      <c r="E19" s="43"/>
      <c r="F19" s="43"/>
      <c r="G19" s="43"/>
      <c r="H19" s="47" t="s">
        <v>122</v>
      </c>
      <c r="L19" s="44" t="s">
        <v>123</v>
      </c>
      <c r="M19" s="45" t="s">
        <v>81</v>
      </c>
      <c r="N19" s="45"/>
      <c r="O19" s="45"/>
      <c r="P19" s="45"/>
      <c r="Q19" s="45"/>
    </row>
    <row r="20">
      <c r="A20" s="46"/>
      <c r="B20" s="46" t="s">
        <v>124</v>
      </c>
      <c r="C20" s="42" t="str">
        <f t="shared" si="1"/>
        <v>No</v>
      </c>
      <c r="D20" s="43" t="s">
        <v>85</v>
      </c>
      <c r="E20" s="43"/>
      <c r="F20" s="43"/>
      <c r="G20" s="43"/>
      <c r="H20" s="42" t="s">
        <v>124</v>
      </c>
      <c r="L20" s="44" t="s">
        <v>125</v>
      </c>
      <c r="M20" s="45" t="s">
        <v>85</v>
      </c>
      <c r="N20" s="45"/>
      <c r="O20" s="45"/>
      <c r="P20" s="45"/>
      <c r="Q20" s="45"/>
    </row>
    <row r="21">
      <c r="A21" s="40" t="s">
        <v>126</v>
      </c>
      <c r="B21" s="46" t="s">
        <v>127</v>
      </c>
      <c r="C21" s="42" t="str">
        <f t="shared" si="1"/>
        <v>Yes</v>
      </c>
      <c r="D21" s="42" t="s">
        <v>81</v>
      </c>
      <c r="E21" s="42" t="s">
        <v>85</v>
      </c>
      <c r="F21" s="42" t="s">
        <v>85</v>
      </c>
      <c r="G21" s="42" t="s">
        <v>85</v>
      </c>
      <c r="H21" s="47" t="s">
        <v>127</v>
      </c>
      <c r="J21" s="8" t="s">
        <v>128</v>
      </c>
      <c r="L21" s="44" t="s">
        <v>129</v>
      </c>
      <c r="M21" s="45" t="s">
        <v>81</v>
      </c>
      <c r="N21" s="45"/>
      <c r="O21" s="45"/>
      <c r="P21" s="45"/>
      <c r="Q21" s="45"/>
    </row>
    <row r="22">
      <c r="A22" s="46"/>
      <c r="B22" s="46" t="s">
        <v>130</v>
      </c>
      <c r="C22" s="42" t="str">
        <f t="shared" si="1"/>
        <v>No</v>
      </c>
      <c r="D22" s="43" t="s">
        <v>85</v>
      </c>
      <c r="E22" s="43"/>
      <c r="F22" s="43"/>
      <c r="G22" s="43"/>
      <c r="H22" s="42" t="s">
        <v>130</v>
      </c>
      <c r="L22" s="44" t="s">
        <v>131</v>
      </c>
      <c r="M22" s="45" t="s">
        <v>85</v>
      </c>
      <c r="N22" s="45"/>
      <c r="O22" s="45"/>
      <c r="P22" s="45"/>
      <c r="Q22" s="45"/>
    </row>
    <row r="23">
      <c r="A23" s="40" t="s">
        <v>119</v>
      </c>
      <c r="B23" s="46" t="s">
        <v>132</v>
      </c>
      <c r="C23" s="42" t="str">
        <f t="shared" si="1"/>
        <v>Yes</v>
      </c>
      <c r="D23" s="43" t="s">
        <v>81</v>
      </c>
      <c r="E23" s="43"/>
      <c r="F23" s="43"/>
      <c r="G23" s="43"/>
      <c r="H23" s="47" t="s">
        <v>132</v>
      </c>
      <c r="J23" s="8" t="s">
        <v>133</v>
      </c>
      <c r="L23" s="44" t="s">
        <v>134</v>
      </c>
      <c r="M23" s="45" t="s">
        <v>81</v>
      </c>
      <c r="N23" s="45"/>
      <c r="O23" s="45"/>
      <c r="P23" s="45"/>
      <c r="Q23" s="45"/>
    </row>
    <row r="24">
      <c r="A24" s="40" t="s">
        <v>99</v>
      </c>
      <c r="B24" s="46" t="s">
        <v>135</v>
      </c>
      <c r="C24" s="42" t="str">
        <f t="shared" si="1"/>
        <v>No</v>
      </c>
      <c r="D24" s="42" t="s">
        <v>85</v>
      </c>
      <c r="E24" s="42" t="s">
        <v>85</v>
      </c>
      <c r="F24" s="42" t="s">
        <v>85</v>
      </c>
      <c r="G24" s="42" t="s">
        <v>85</v>
      </c>
      <c r="H24" s="42" t="s">
        <v>135</v>
      </c>
      <c r="L24" s="44" t="s">
        <v>136</v>
      </c>
      <c r="M24" s="45" t="s">
        <v>81</v>
      </c>
      <c r="N24" s="45"/>
      <c r="O24" s="45"/>
      <c r="P24" s="45"/>
      <c r="Q24" s="45"/>
    </row>
    <row r="25">
      <c r="A25" s="46"/>
      <c r="B25" s="46" t="s">
        <v>137</v>
      </c>
      <c r="C25" s="42" t="str">
        <f t="shared" si="1"/>
        <v>No</v>
      </c>
      <c r="D25" s="42" t="s">
        <v>81</v>
      </c>
      <c r="E25" s="42" t="s">
        <v>85</v>
      </c>
      <c r="F25" s="42" t="s">
        <v>81</v>
      </c>
      <c r="G25" s="43"/>
      <c r="H25" s="42" t="s">
        <v>137</v>
      </c>
      <c r="L25" s="44" t="s">
        <v>138</v>
      </c>
      <c r="M25" s="45" t="s">
        <v>81</v>
      </c>
      <c r="N25" s="45"/>
      <c r="O25" s="45"/>
      <c r="P25" s="45"/>
      <c r="Q25" s="45"/>
    </row>
    <row r="26">
      <c r="A26" s="40" t="s">
        <v>89</v>
      </c>
      <c r="B26" s="46" t="s">
        <v>139</v>
      </c>
      <c r="C26" s="42" t="str">
        <f t="shared" si="1"/>
        <v>Yes</v>
      </c>
      <c r="D26" s="42" t="s">
        <v>82</v>
      </c>
      <c r="E26" s="43"/>
      <c r="F26" s="43"/>
      <c r="G26" s="43"/>
      <c r="H26" s="42" t="s">
        <v>139</v>
      </c>
      <c r="L26" s="44" t="s">
        <v>140</v>
      </c>
      <c r="M26" s="39" t="s">
        <v>82</v>
      </c>
      <c r="N26" s="45"/>
      <c r="O26" s="45"/>
      <c r="P26" s="39" t="s">
        <v>82</v>
      </c>
      <c r="Q26" s="45"/>
    </row>
    <row r="27">
      <c r="A27" s="46"/>
      <c r="B27" s="46" t="s">
        <v>141</v>
      </c>
      <c r="C27" s="42" t="str">
        <f t="shared" si="1"/>
        <v>No</v>
      </c>
      <c r="D27" s="42" t="s">
        <v>85</v>
      </c>
      <c r="E27" s="42" t="s">
        <v>85</v>
      </c>
      <c r="F27" s="43"/>
      <c r="G27" s="43"/>
      <c r="H27" s="42" t="s">
        <v>141</v>
      </c>
      <c r="L27" s="44" t="s">
        <v>142</v>
      </c>
      <c r="M27" s="45" t="s">
        <v>85</v>
      </c>
      <c r="N27" s="45"/>
      <c r="O27" s="45"/>
      <c r="P27" s="45"/>
      <c r="Q27" s="45"/>
    </row>
    <row r="28">
      <c r="A28" s="46"/>
      <c r="B28" s="46" t="s">
        <v>143</v>
      </c>
      <c r="C28" s="42" t="str">
        <f t="shared" si="1"/>
        <v>No</v>
      </c>
      <c r="D28" s="42" t="s">
        <v>81</v>
      </c>
      <c r="E28" s="42" t="s">
        <v>82</v>
      </c>
      <c r="F28" s="43"/>
      <c r="G28" s="43"/>
      <c r="H28" s="42" t="s">
        <v>143</v>
      </c>
      <c r="L28" s="44" t="s">
        <v>144</v>
      </c>
      <c r="M28" s="45"/>
      <c r="N28" s="45"/>
      <c r="O28" s="45"/>
      <c r="P28" s="45"/>
      <c r="Q28" s="45"/>
    </row>
    <row r="29">
      <c r="A29" s="8" t="s">
        <v>119</v>
      </c>
      <c r="B29" s="46" t="s">
        <v>145</v>
      </c>
      <c r="C29" s="42" t="str">
        <f t="shared" si="1"/>
        <v>No</v>
      </c>
      <c r="D29" s="43" t="s">
        <v>81</v>
      </c>
      <c r="E29" s="43"/>
      <c r="F29" s="43"/>
      <c r="G29" s="43"/>
      <c r="H29" s="47" t="s">
        <v>145</v>
      </c>
      <c r="I29" s="8" t="s">
        <v>146</v>
      </c>
      <c r="L29" s="44" t="s">
        <v>147</v>
      </c>
      <c r="M29" s="45" t="s">
        <v>81</v>
      </c>
      <c r="N29" s="45"/>
      <c r="O29" s="45"/>
      <c r="P29" s="45"/>
      <c r="Q29" s="45"/>
    </row>
    <row r="30">
      <c r="A30" s="49" t="s">
        <v>119</v>
      </c>
      <c r="B30" s="46" t="s">
        <v>148</v>
      </c>
      <c r="C30" s="42" t="str">
        <f t="shared" si="1"/>
        <v>Yes</v>
      </c>
      <c r="D30" s="43" t="s">
        <v>85</v>
      </c>
      <c r="E30" s="42" t="s">
        <v>85</v>
      </c>
      <c r="F30" s="43"/>
      <c r="G30" s="43"/>
      <c r="H30" s="42" t="s">
        <v>148</v>
      </c>
      <c r="L30" s="44" t="s">
        <v>149</v>
      </c>
      <c r="M30" s="45" t="s">
        <v>81</v>
      </c>
      <c r="N30" s="45"/>
      <c r="O30" s="45"/>
      <c r="P30" s="45"/>
      <c r="Q30" s="45"/>
    </row>
    <row r="31">
      <c r="A31" s="46"/>
      <c r="B31" s="46" t="s">
        <v>150</v>
      </c>
      <c r="C31" s="42" t="str">
        <f t="shared" si="1"/>
        <v>No</v>
      </c>
      <c r="D31" s="42" t="s">
        <v>85</v>
      </c>
      <c r="E31" s="42" t="s">
        <v>85</v>
      </c>
      <c r="F31" s="43"/>
      <c r="G31" s="43"/>
      <c r="H31" s="42" t="s">
        <v>150</v>
      </c>
      <c r="L31" s="44" t="s">
        <v>151</v>
      </c>
      <c r="M31" s="45" t="s">
        <v>85</v>
      </c>
      <c r="N31" s="45"/>
      <c r="O31" s="45"/>
      <c r="P31" s="45"/>
      <c r="Q31" s="45"/>
    </row>
    <row r="32">
      <c r="A32" s="46"/>
      <c r="B32" s="50" t="s">
        <v>152</v>
      </c>
      <c r="C32" s="42" t="str">
        <f t="shared" si="1"/>
        <v>No</v>
      </c>
      <c r="D32" s="42" t="s">
        <v>85</v>
      </c>
      <c r="E32" s="42" t="s">
        <v>85</v>
      </c>
      <c r="F32" s="42" t="s">
        <v>81</v>
      </c>
      <c r="G32" s="42" t="s">
        <v>85</v>
      </c>
      <c r="H32" s="42" t="s">
        <v>152</v>
      </c>
      <c r="L32" s="44" t="s">
        <v>153</v>
      </c>
      <c r="M32" s="45" t="s">
        <v>81</v>
      </c>
      <c r="N32" s="45"/>
      <c r="O32" s="45"/>
      <c r="P32" s="45"/>
      <c r="Q32" s="45"/>
    </row>
    <row r="33">
      <c r="A33" s="46"/>
      <c r="B33" s="46" t="s">
        <v>154</v>
      </c>
      <c r="C33" s="42" t="str">
        <f t="shared" si="1"/>
        <v>No</v>
      </c>
      <c r="D33" s="43" t="s">
        <v>81</v>
      </c>
      <c r="E33" s="43"/>
      <c r="F33" s="43"/>
      <c r="G33" s="43"/>
      <c r="H33" s="42" t="s">
        <v>154</v>
      </c>
      <c r="L33" s="44" t="s">
        <v>155</v>
      </c>
      <c r="M33" s="45" t="s">
        <v>85</v>
      </c>
      <c r="N33" s="45"/>
      <c r="O33" s="45"/>
      <c r="P33" s="45"/>
      <c r="Q33" s="45"/>
    </row>
    <row r="34">
      <c r="A34" s="40" t="s">
        <v>156</v>
      </c>
      <c r="B34" s="46" t="s">
        <v>157</v>
      </c>
      <c r="C34" s="42" t="str">
        <f t="shared" si="1"/>
        <v>Yes</v>
      </c>
      <c r="D34" s="42" t="s">
        <v>81</v>
      </c>
      <c r="E34" s="42" t="s">
        <v>81</v>
      </c>
      <c r="F34" s="42" t="s">
        <v>82</v>
      </c>
      <c r="G34" s="42" t="s">
        <v>82</v>
      </c>
      <c r="H34" s="47" t="s">
        <v>157</v>
      </c>
      <c r="J34" s="8" t="s">
        <v>158</v>
      </c>
      <c r="L34" s="44" t="s">
        <v>159</v>
      </c>
      <c r="M34" s="45" t="s">
        <v>81</v>
      </c>
      <c r="N34" s="45"/>
      <c r="O34" s="45"/>
      <c r="P34" s="45"/>
      <c r="Q34" s="45"/>
    </row>
    <row r="35">
      <c r="A35" s="40" t="s">
        <v>99</v>
      </c>
      <c r="B35" s="46" t="s">
        <v>160</v>
      </c>
      <c r="C35" s="42" t="str">
        <f t="shared" si="1"/>
        <v>No</v>
      </c>
      <c r="D35" s="43" t="s">
        <v>85</v>
      </c>
      <c r="E35" s="43"/>
      <c r="F35" s="43"/>
      <c r="G35" s="43"/>
      <c r="H35" s="42" t="s">
        <v>160</v>
      </c>
      <c r="L35" s="44" t="s">
        <v>161</v>
      </c>
      <c r="M35" s="45" t="s">
        <v>81</v>
      </c>
      <c r="N35" s="45"/>
      <c r="O35" s="45"/>
      <c r="P35" s="45"/>
      <c r="Q35" s="45"/>
    </row>
    <row r="36">
      <c r="A36" s="40"/>
      <c r="B36" s="46" t="s">
        <v>162</v>
      </c>
      <c r="C36" s="42" t="str">
        <f t="shared" si="1"/>
        <v>No</v>
      </c>
      <c r="D36" s="42" t="s">
        <v>85</v>
      </c>
      <c r="E36" s="42" t="s">
        <v>85</v>
      </c>
      <c r="F36" s="42" t="s">
        <v>81</v>
      </c>
      <c r="G36" s="43"/>
      <c r="H36" s="42" t="s">
        <v>162</v>
      </c>
      <c r="L36" s="44" t="s">
        <v>163</v>
      </c>
      <c r="M36" s="45" t="s">
        <v>81</v>
      </c>
      <c r="N36" s="45"/>
      <c r="O36" s="45"/>
      <c r="P36" s="45"/>
      <c r="Q36" s="45"/>
    </row>
    <row r="37">
      <c r="A37" s="40" t="s">
        <v>89</v>
      </c>
      <c r="B37" s="46" t="s">
        <v>164</v>
      </c>
      <c r="C37" s="42" t="str">
        <f t="shared" si="1"/>
        <v>No</v>
      </c>
      <c r="D37" s="43" t="s">
        <v>81</v>
      </c>
      <c r="E37" s="43"/>
      <c r="F37" s="43"/>
      <c r="G37" s="43"/>
      <c r="H37" s="42" t="s">
        <v>164</v>
      </c>
      <c r="L37" s="44" t="s">
        <v>165</v>
      </c>
      <c r="M37" s="45" t="s">
        <v>81</v>
      </c>
      <c r="N37" s="45"/>
      <c r="O37" s="45"/>
      <c r="P37" s="45"/>
      <c r="Q37" s="45"/>
    </row>
    <row r="38">
      <c r="A38" s="40" t="s">
        <v>119</v>
      </c>
      <c r="B38" s="46" t="s">
        <v>166</v>
      </c>
      <c r="C38" s="42" t="str">
        <f t="shared" si="1"/>
        <v>No</v>
      </c>
      <c r="D38" s="43"/>
      <c r="E38" s="43"/>
      <c r="F38" s="43"/>
      <c r="G38" s="43"/>
      <c r="H38" s="42" t="s">
        <v>166</v>
      </c>
      <c r="L38" s="44" t="s">
        <v>167</v>
      </c>
      <c r="M38" s="45" t="s">
        <v>81</v>
      </c>
      <c r="N38" s="45"/>
      <c r="O38" s="45"/>
      <c r="P38" s="45"/>
      <c r="Q38" s="45"/>
    </row>
    <row r="39">
      <c r="A39" s="46"/>
      <c r="B39" s="46" t="s">
        <v>168</v>
      </c>
      <c r="C39" s="42" t="str">
        <f t="shared" si="1"/>
        <v>No</v>
      </c>
      <c r="D39" s="43"/>
      <c r="E39" s="43"/>
      <c r="F39" s="43"/>
      <c r="G39" s="43"/>
      <c r="H39" s="42" t="s">
        <v>168</v>
      </c>
      <c r="L39" s="44" t="s">
        <v>169</v>
      </c>
      <c r="M39" s="45" t="s">
        <v>81</v>
      </c>
      <c r="N39" s="45"/>
      <c r="O39" s="45"/>
      <c r="P39" s="45"/>
      <c r="Q39" s="45"/>
    </row>
    <row r="40">
      <c r="A40" s="46"/>
      <c r="B40" s="46" t="s">
        <v>170</v>
      </c>
      <c r="C40" s="42" t="str">
        <f t="shared" si="1"/>
        <v>No</v>
      </c>
      <c r="D40" s="42" t="s">
        <v>85</v>
      </c>
      <c r="E40" s="42" t="s">
        <v>85</v>
      </c>
      <c r="F40" s="42" t="s">
        <v>85</v>
      </c>
      <c r="G40" s="42" t="s">
        <v>85</v>
      </c>
      <c r="H40" s="42" t="s">
        <v>170</v>
      </c>
      <c r="L40" s="44" t="s">
        <v>171</v>
      </c>
      <c r="M40" s="45" t="s">
        <v>172</v>
      </c>
      <c r="N40" s="45"/>
      <c r="O40" s="45"/>
      <c r="P40" s="45"/>
      <c r="Q40" s="45"/>
    </row>
    <row r="41">
      <c r="A41" s="40" t="s">
        <v>89</v>
      </c>
      <c r="B41" s="46" t="s">
        <v>173</v>
      </c>
      <c r="C41" s="42" t="str">
        <f t="shared" si="1"/>
        <v>Yes</v>
      </c>
      <c r="D41" s="42" t="s">
        <v>81</v>
      </c>
      <c r="E41" s="43"/>
      <c r="F41" s="43"/>
      <c r="G41" s="43"/>
      <c r="H41" s="47" t="s">
        <v>173</v>
      </c>
      <c r="I41" s="8" t="s">
        <v>96</v>
      </c>
      <c r="J41" s="8" t="s">
        <v>174</v>
      </c>
      <c r="L41" s="44" t="s">
        <v>175</v>
      </c>
      <c r="M41" s="45" t="s">
        <v>81</v>
      </c>
      <c r="N41" s="45"/>
      <c r="O41" s="45"/>
      <c r="P41" s="45"/>
      <c r="Q41" s="45"/>
    </row>
    <row r="42" hidden="1">
      <c r="A42" s="46"/>
      <c r="B42" s="46" t="s">
        <v>176</v>
      </c>
      <c r="C42" s="42" t="str">
        <f t="shared" si="1"/>
        <v>No</v>
      </c>
      <c r="D42" s="43" t="s">
        <v>85</v>
      </c>
      <c r="E42" s="43"/>
      <c r="F42" s="43"/>
      <c r="G42" s="43"/>
      <c r="H42" s="42" t="s">
        <v>176</v>
      </c>
      <c r="L42" s="44" t="s">
        <v>177</v>
      </c>
      <c r="M42" s="45" t="s">
        <v>178</v>
      </c>
      <c r="N42" s="45"/>
      <c r="O42" s="45"/>
      <c r="P42" s="45"/>
      <c r="Q42" s="45"/>
    </row>
    <row r="43">
      <c r="A43" s="40" t="s">
        <v>179</v>
      </c>
      <c r="B43" s="46" t="s">
        <v>180</v>
      </c>
      <c r="C43" s="42" t="str">
        <f t="shared" si="1"/>
        <v>Yes</v>
      </c>
      <c r="D43" s="42" t="s">
        <v>81</v>
      </c>
      <c r="E43" s="43"/>
      <c r="F43" s="42" t="s">
        <v>82</v>
      </c>
      <c r="G43" s="43"/>
      <c r="H43" s="48" t="s">
        <v>180</v>
      </c>
      <c r="I43" s="8" t="s">
        <v>96</v>
      </c>
      <c r="K43" s="8" t="s">
        <v>181</v>
      </c>
      <c r="L43" s="44" t="s">
        <v>182</v>
      </c>
      <c r="M43" s="45" t="s">
        <v>81</v>
      </c>
      <c r="N43" s="45"/>
      <c r="O43" s="45"/>
      <c r="P43" s="45"/>
      <c r="Q43" s="45"/>
    </row>
    <row r="44">
      <c r="A44" s="40" t="s">
        <v>183</v>
      </c>
      <c r="B44" s="46" t="s">
        <v>184</v>
      </c>
      <c r="C44" s="42" t="str">
        <f t="shared" si="1"/>
        <v>Yes</v>
      </c>
      <c r="D44" s="42" t="s">
        <v>81</v>
      </c>
      <c r="E44" s="43"/>
      <c r="F44" s="43"/>
      <c r="G44" s="43"/>
      <c r="H44" s="47" t="s">
        <v>184</v>
      </c>
      <c r="I44" s="8" t="s">
        <v>96</v>
      </c>
      <c r="J44" s="8" t="s">
        <v>185</v>
      </c>
      <c r="L44" s="44" t="s">
        <v>186</v>
      </c>
      <c r="M44" s="45" t="s">
        <v>81</v>
      </c>
      <c r="N44" s="45"/>
      <c r="O44" s="45"/>
      <c r="P44" s="45"/>
      <c r="Q44" s="45"/>
    </row>
    <row r="45">
      <c r="A45" s="40" t="s">
        <v>156</v>
      </c>
      <c r="B45" s="46" t="s">
        <v>187</v>
      </c>
      <c r="C45" s="42" t="str">
        <f t="shared" si="1"/>
        <v>Yes</v>
      </c>
      <c r="D45" s="43" t="s">
        <v>81</v>
      </c>
      <c r="E45" s="43"/>
      <c r="F45" s="43"/>
      <c r="G45" s="43"/>
      <c r="H45" s="47" t="s">
        <v>187</v>
      </c>
      <c r="J45" s="8" t="s">
        <v>188</v>
      </c>
      <c r="L45" s="44" t="s">
        <v>189</v>
      </c>
      <c r="M45" s="45" t="s">
        <v>81</v>
      </c>
      <c r="N45" s="45"/>
      <c r="O45" s="45"/>
      <c r="P45" s="45"/>
      <c r="Q45" s="45"/>
    </row>
    <row r="46" hidden="1">
      <c r="A46" s="46"/>
      <c r="B46" s="46" t="s">
        <v>190</v>
      </c>
      <c r="C46" s="42" t="str">
        <f t="shared" si="1"/>
        <v>No</v>
      </c>
      <c r="D46" s="42" t="s">
        <v>85</v>
      </c>
      <c r="E46" s="42" t="s">
        <v>85</v>
      </c>
      <c r="F46" s="43"/>
      <c r="G46" s="43"/>
      <c r="H46" s="42" t="s">
        <v>190</v>
      </c>
      <c r="L46" s="44" t="s">
        <v>191</v>
      </c>
      <c r="M46" s="45" t="s">
        <v>178</v>
      </c>
      <c r="N46" s="45"/>
      <c r="O46" s="45"/>
      <c r="P46" s="45"/>
      <c r="Q46" s="45"/>
    </row>
    <row r="47">
      <c r="A47" s="46"/>
      <c r="B47" s="46" t="s">
        <v>192</v>
      </c>
      <c r="C47" s="42" t="str">
        <f t="shared" si="1"/>
        <v>No</v>
      </c>
      <c r="D47" s="43"/>
      <c r="E47" s="43"/>
      <c r="F47" s="43"/>
      <c r="G47" s="43"/>
      <c r="H47" s="42" t="s">
        <v>192</v>
      </c>
      <c r="L47" s="44" t="s">
        <v>193</v>
      </c>
      <c r="M47" s="45"/>
      <c r="N47" s="45"/>
      <c r="O47" s="45"/>
      <c r="P47" s="45"/>
      <c r="Q47" s="45"/>
    </row>
    <row r="48">
      <c r="A48" s="46"/>
      <c r="B48" s="46" t="s">
        <v>194</v>
      </c>
      <c r="C48" s="42" t="str">
        <f t="shared" si="1"/>
        <v>No</v>
      </c>
      <c r="D48" s="43" t="s">
        <v>85</v>
      </c>
      <c r="E48" s="43"/>
      <c r="F48" s="43"/>
      <c r="G48" s="43"/>
      <c r="H48" s="42" t="s">
        <v>194</v>
      </c>
      <c r="L48" s="44" t="s">
        <v>195</v>
      </c>
      <c r="M48" s="39" t="s">
        <v>85</v>
      </c>
      <c r="N48" s="45"/>
      <c r="O48" s="45"/>
      <c r="P48" s="45"/>
      <c r="Q48" s="45"/>
    </row>
    <row r="49">
      <c r="A49" s="46"/>
      <c r="B49" s="46" t="s">
        <v>196</v>
      </c>
      <c r="C49" s="42" t="str">
        <f t="shared" si="1"/>
        <v>No</v>
      </c>
      <c r="D49" s="43" t="s">
        <v>81</v>
      </c>
      <c r="E49" s="43"/>
      <c r="F49" s="43"/>
      <c r="G49" s="43"/>
      <c r="H49" s="42" t="s">
        <v>196</v>
      </c>
      <c r="L49" s="44" t="s">
        <v>197</v>
      </c>
      <c r="M49" s="39" t="s">
        <v>85</v>
      </c>
      <c r="N49" s="39" t="s">
        <v>81</v>
      </c>
      <c r="O49" s="39" t="s">
        <v>85</v>
      </c>
      <c r="P49" s="45"/>
      <c r="Q49" s="45"/>
    </row>
    <row r="50">
      <c r="A50" s="46"/>
      <c r="B50" s="46" t="s">
        <v>198</v>
      </c>
      <c r="C50" s="42" t="str">
        <f t="shared" ref="C50:C53" si="2">xlookup(B50,$L$106:$L$122,$K$106:$K$122,"No")</f>
        <v>No</v>
      </c>
      <c r="D50" s="43" t="s">
        <v>81</v>
      </c>
      <c r="E50" s="43"/>
      <c r="F50" s="43"/>
      <c r="G50" s="43"/>
      <c r="H50" s="42" t="s">
        <v>198</v>
      </c>
      <c r="L50" s="44" t="s">
        <v>199</v>
      </c>
      <c r="M50" s="39" t="s">
        <v>85</v>
      </c>
      <c r="N50" s="45"/>
      <c r="O50" s="45"/>
      <c r="P50" s="45"/>
      <c r="Q50" s="45"/>
    </row>
    <row r="51">
      <c r="A51" s="49" t="s">
        <v>89</v>
      </c>
      <c r="B51" s="49" t="s">
        <v>200</v>
      </c>
      <c r="C51" s="42" t="str">
        <f t="shared" si="2"/>
        <v>Yes</v>
      </c>
      <c r="D51" s="43"/>
      <c r="E51" s="43"/>
      <c r="F51" s="43"/>
      <c r="G51" s="43"/>
      <c r="H51" s="42"/>
      <c r="L51" s="51"/>
      <c r="M51" s="39"/>
      <c r="N51" s="39"/>
      <c r="O51" s="45"/>
      <c r="P51" s="45"/>
      <c r="Q51" s="45"/>
    </row>
    <row r="52">
      <c r="A52" s="46"/>
      <c r="B52" s="46" t="s">
        <v>201</v>
      </c>
      <c r="C52" s="42" t="str">
        <f t="shared" si="2"/>
        <v>No</v>
      </c>
      <c r="D52" s="43"/>
      <c r="E52" s="43"/>
      <c r="F52" s="43"/>
      <c r="G52" s="43"/>
      <c r="H52" s="42" t="s">
        <v>201</v>
      </c>
      <c r="L52" s="44" t="s">
        <v>202</v>
      </c>
      <c r="M52" s="39" t="s">
        <v>85</v>
      </c>
      <c r="N52" s="39" t="s">
        <v>85</v>
      </c>
      <c r="O52" s="45"/>
      <c r="P52" s="45"/>
      <c r="Q52" s="45"/>
    </row>
    <row r="53">
      <c r="A53" s="40" t="s">
        <v>89</v>
      </c>
      <c r="B53" s="46" t="s">
        <v>203</v>
      </c>
      <c r="C53" s="42" t="str">
        <f t="shared" si="2"/>
        <v>Yes</v>
      </c>
      <c r="D53" s="42" t="s">
        <v>82</v>
      </c>
      <c r="E53" s="42" t="s">
        <v>85</v>
      </c>
      <c r="F53" s="42" t="s">
        <v>81</v>
      </c>
      <c r="G53" s="42" t="s">
        <v>81</v>
      </c>
      <c r="H53" s="47" t="s">
        <v>203</v>
      </c>
      <c r="J53" s="8" t="s">
        <v>204</v>
      </c>
      <c r="L53" s="44" t="s">
        <v>205</v>
      </c>
      <c r="M53" s="39" t="s">
        <v>81</v>
      </c>
      <c r="N53" s="39" t="s">
        <v>81</v>
      </c>
      <c r="O53" s="39" t="s">
        <v>81</v>
      </c>
      <c r="P53" s="39" t="s">
        <v>82</v>
      </c>
      <c r="Q53" s="39" t="s">
        <v>81</v>
      </c>
    </row>
    <row r="54">
      <c r="A54" s="46"/>
      <c r="B54" s="46" t="s">
        <v>206</v>
      </c>
      <c r="C54" s="42" t="str">
        <f t="shared" ref="C54:C68" si="3">xlookup(B54,$L$106:$L$121,$K$106:$K$121,"No")</f>
        <v>No</v>
      </c>
      <c r="D54" s="43"/>
      <c r="E54" s="43"/>
      <c r="F54" s="43"/>
      <c r="G54" s="43"/>
      <c r="H54" s="42" t="s">
        <v>206</v>
      </c>
      <c r="L54" s="44" t="s">
        <v>207</v>
      </c>
      <c r="M54" s="45"/>
      <c r="N54" s="45"/>
      <c r="O54" s="45"/>
      <c r="P54" s="45"/>
      <c r="Q54" s="45"/>
    </row>
    <row r="55">
      <c r="A55" s="46"/>
      <c r="B55" s="46" t="s">
        <v>208</v>
      </c>
      <c r="C55" s="42" t="str">
        <f t="shared" si="3"/>
        <v>No</v>
      </c>
      <c r="D55" s="42" t="s">
        <v>85</v>
      </c>
      <c r="E55" s="43"/>
      <c r="F55" s="43"/>
      <c r="G55" s="43"/>
      <c r="H55" s="42" t="s">
        <v>208</v>
      </c>
      <c r="L55" s="44" t="s">
        <v>209</v>
      </c>
      <c r="M55" s="39" t="s">
        <v>85</v>
      </c>
      <c r="N55" s="45"/>
      <c r="O55" s="45"/>
      <c r="P55" s="45"/>
      <c r="Q55" s="45"/>
    </row>
    <row r="56">
      <c r="A56" s="46"/>
      <c r="B56" s="46" t="s">
        <v>210</v>
      </c>
      <c r="C56" s="42" t="str">
        <f t="shared" si="3"/>
        <v>No</v>
      </c>
      <c r="D56" s="43" t="s">
        <v>81</v>
      </c>
      <c r="E56" s="43"/>
      <c r="F56" s="43"/>
      <c r="G56" s="43"/>
      <c r="H56" s="42" t="s">
        <v>210</v>
      </c>
      <c r="L56" s="44" t="s">
        <v>211</v>
      </c>
      <c r="M56" s="39" t="s">
        <v>85</v>
      </c>
      <c r="N56" s="39" t="s">
        <v>81</v>
      </c>
      <c r="O56" s="39" t="s">
        <v>85</v>
      </c>
      <c r="P56" s="45"/>
      <c r="Q56" s="45"/>
    </row>
    <row r="57">
      <c r="A57" s="40" t="s">
        <v>212</v>
      </c>
      <c r="B57" s="46" t="s">
        <v>213</v>
      </c>
      <c r="C57" s="42" t="str">
        <f t="shared" si="3"/>
        <v>Yes</v>
      </c>
      <c r="D57" s="43" t="s">
        <v>81</v>
      </c>
      <c r="E57" s="43"/>
      <c r="F57" s="43"/>
      <c r="G57" s="43"/>
      <c r="H57" s="47" t="s">
        <v>213</v>
      </c>
      <c r="J57" s="8" t="s">
        <v>214</v>
      </c>
      <c r="L57" s="44" t="s">
        <v>215</v>
      </c>
      <c r="M57" s="39" t="s">
        <v>85</v>
      </c>
      <c r="N57" s="39" t="s">
        <v>85</v>
      </c>
      <c r="O57" s="39" t="s">
        <v>85</v>
      </c>
      <c r="P57" s="45"/>
      <c r="Q57" s="45"/>
    </row>
    <row r="58">
      <c r="A58" s="40" t="s">
        <v>99</v>
      </c>
      <c r="B58" s="46" t="s">
        <v>216</v>
      </c>
      <c r="C58" s="42" t="str">
        <f t="shared" si="3"/>
        <v>No</v>
      </c>
      <c r="D58" s="43" t="s">
        <v>85</v>
      </c>
      <c r="E58" s="43"/>
      <c r="F58" s="43"/>
      <c r="G58" s="43"/>
      <c r="H58" s="42" t="s">
        <v>216</v>
      </c>
      <c r="L58" s="44" t="s">
        <v>217</v>
      </c>
      <c r="M58" s="39" t="s">
        <v>81</v>
      </c>
      <c r="N58" s="39" t="s">
        <v>81</v>
      </c>
      <c r="O58" s="39" t="s">
        <v>85</v>
      </c>
      <c r="P58" s="45"/>
      <c r="Q58" s="45"/>
    </row>
    <row r="59">
      <c r="A59" s="46"/>
      <c r="B59" s="46" t="s">
        <v>218</v>
      </c>
      <c r="C59" s="42" t="str">
        <f t="shared" si="3"/>
        <v>No</v>
      </c>
      <c r="D59" s="43"/>
      <c r="E59" s="43"/>
      <c r="F59" s="43"/>
      <c r="G59" s="43"/>
      <c r="H59" s="42" t="s">
        <v>218</v>
      </c>
      <c r="L59" s="44" t="s">
        <v>219</v>
      </c>
      <c r="M59" s="39" t="s">
        <v>85</v>
      </c>
      <c r="N59" s="45"/>
      <c r="O59" s="45"/>
      <c r="P59" s="45"/>
      <c r="Q59" s="45"/>
    </row>
    <row r="60">
      <c r="A60" s="40"/>
      <c r="B60" s="46" t="s">
        <v>220</v>
      </c>
      <c r="C60" s="42" t="str">
        <f t="shared" si="3"/>
        <v>No</v>
      </c>
      <c r="D60" s="43"/>
      <c r="E60" s="43"/>
      <c r="F60" s="43"/>
      <c r="G60" s="43"/>
      <c r="H60" s="42" t="s">
        <v>220</v>
      </c>
      <c r="L60" s="44" t="s">
        <v>221</v>
      </c>
      <c r="M60" s="39" t="s">
        <v>81</v>
      </c>
      <c r="N60" s="45"/>
      <c r="O60" s="45"/>
      <c r="P60" s="45"/>
      <c r="Q60" s="45"/>
    </row>
    <row r="61">
      <c r="A61" s="40"/>
      <c r="B61" s="46" t="s">
        <v>222</v>
      </c>
      <c r="C61" s="42" t="str">
        <f t="shared" si="3"/>
        <v>No</v>
      </c>
      <c r="D61" s="43" t="s">
        <v>85</v>
      </c>
      <c r="E61" s="43"/>
      <c r="F61" s="43"/>
      <c r="G61" s="43"/>
      <c r="H61" s="42" t="s">
        <v>222</v>
      </c>
      <c r="L61" s="44" t="s">
        <v>223</v>
      </c>
      <c r="M61" s="39" t="s">
        <v>81</v>
      </c>
      <c r="N61" s="39" t="s">
        <v>81</v>
      </c>
      <c r="O61" s="45"/>
      <c r="P61" s="45"/>
      <c r="Q61" s="45"/>
    </row>
    <row r="62">
      <c r="A62" s="49"/>
      <c r="B62" s="46" t="s">
        <v>224</v>
      </c>
      <c r="C62" s="42" t="str">
        <f t="shared" si="3"/>
        <v>No</v>
      </c>
      <c r="D62" s="43" t="s">
        <v>85</v>
      </c>
      <c r="E62" s="43"/>
      <c r="F62" s="43"/>
      <c r="G62" s="43"/>
      <c r="H62" s="42" t="s">
        <v>224</v>
      </c>
      <c r="L62" s="44" t="s">
        <v>225</v>
      </c>
      <c r="M62" s="39" t="s">
        <v>81</v>
      </c>
      <c r="N62" s="45"/>
      <c r="O62" s="45"/>
      <c r="P62" s="45"/>
      <c r="Q62" s="45"/>
    </row>
    <row r="63">
      <c r="A63" s="46"/>
      <c r="B63" s="46" t="s">
        <v>226</v>
      </c>
      <c r="C63" s="42" t="str">
        <f t="shared" si="3"/>
        <v>No</v>
      </c>
      <c r="D63" s="42" t="s">
        <v>81</v>
      </c>
      <c r="E63" s="43"/>
      <c r="F63" s="43"/>
      <c r="G63" s="43"/>
      <c r="H63" s="42" t="s">
        <v>226</v>
      </c>
      <c r="L63" s="44" t="s">
        <v>227</v>
      </c>
      <c r="M63" s="39" t="s">
        <v>85</v>
      </c>
      <c r="N63" s="45"/>
      <c r="O63" s="45"/>
      <c r="P63" s="45"/>
      <c r="Q63" s="45"/>
    </row>
    <row r="64">
      <c r="A64" s="46"/>
      <c r="B64" s="46" t="s">
        <v>228</v>
      </c>
      <c r="C64" s="42" t="str">
        <f t="shared" si="3"/>
        <v>No</v>
      </c>
      <c r="D64" s="42" t="s">
        <v>85</v>
      </c>
      <c r="E64" s="42" t="s">
        <v>85</v>
      </c>
      <c r="F64" s="43"/>
      <c r="G64" s="43"/>
      <c r="H64" s="42" t="s">
        <v>228</v>
      </c>
      <c r="L64" s="44" t="s">
        <v>229</v>
      </c>
      <c r="M64" s="39" t="s">
        <v>85</v>
      </c>
      <c r="N64" s="45"/>
      <c r="O64" s="45"/>
      <c r="P64" s="45"/>
      <c r="Q64" s="45"/>
    </row>
    <row r="65">
      <c r="A65" s="46"/>
      <c r="B65" s="46" t="s">
        <v>230</v>
      </c>
      <c r="C65" s="42" t="str">
        <f t="shared" si="3"/>
        <v>No</v>
      </c>
      <c r="D65" s="42" t="s">
        <v>85</v>
      </c>
      <c r="E65" s="42" t="s">
        <v>85</v>
      </c>
      <c r="F65" s="43"/>
      <c r="G65" s="43"/>
      <c r="H65" s="42" t="s">
        <v>230</v>
      </c>
      <c r="L65" s="44" t="s">
        <v>231</v>
      </c>
      <c r="M65" s="39" t="s">
        <v>85</v>
      </c>
      <c r="N65" s="45"/>
      <c r="O65" s="45"/>
      <c r="P65" s="45"/>
      <c r="Q65" s="45"/>
    </row>
    <row r="66">
      <c r="A66" s="46"/>
      <c r="B66" s="46" t="s">
        <v>232</v>
      </c>
      <c r="C66" s="42" t="str">
        <f t="shared" si="3"/>
        <v>No</v>
      </c>
      <c r="D66" s="43"/>
      <c r="E66" s="43"/>
      <c r="F66" s="43"/>
      <c r="G66" s="43"/>
      <c r="H66" s="42" t="s">
        <v>232</v>
      </c>
      <c r="L66" s="44" t="s">
        <v>233</v>
      </c>
      <c r="M66" s="39" t="s">
        <v>85</v>
      </c>
      <c r="N66" s="45"/>
      <c r="O66" s="45"/>
      <c r="P66" s="45"/>
      <c r="Q66" s="45"/>
    </row>
    <row r="67">
      <c r="A67" s="40" t="s">
        <v>89</v>
      </c>
      <c r="B67" s="46" t="s">
        <v>234</v>
      </c>
      <c r="C67" s="42" t="str">
        <f t="shared" si="3"/>
        <v>Yes</v>
      </c>
      <c r="D67" s="43"/>
      <c r="E67" s="43"/>
      <c r="F67" s="43"/>
      <c r="G67" s="43"/>
      <c r="H67" s="42"/>
      <c r="L67" s="51"/>
      <c r="M67" s="39"/>
      <c r="N67" s="45"/>
      <c r="O67" s="45"/>
      <c r="P67" s="45"/>
      <c r="Q67" s="45"/>
    </row>
    <row r="68">
      <c r="A68" s="40"/>
      <c r="B68" s="8" t="s">
        <v>235</v>
      </c>
      <c r="C68" s="42" t="str">
        <f t="shared" si="3"/>
        <v>No</v>
      </c>
      <c r="D68" s="43"/>
      <c r="E68" s="43"/>
      <c r="F68" s="43"/>
      <c r="G68" s="43"/>
      <c r="H68" s="42" t="s">
        <v>234</v>
      </c>
      <c r="L68" s="44" t="s">
        <v>236</v>
      </c>
      <c r="M68" s="39" t="s">
        <v>81</v>
      </c>
      <c r="N68" s="45"/>
      <c r="O68" s="45"/>
      <c r="P68" s="45"/>
      <c r="Q68" s="45"/>
    </row>
    <row r="69">
      <c r="A69" s="52" t="s">
        <v>237</v>
      </c>
      <c r="B69" s="53"/>
      <c r="C69" s="54" t="s">
        <v>68</v>
      </c>
      <c r="D69" s="54" t="s">
        <v>69</v>
      </c>
      <c r="E69" s="54" t="s">
        <v>70</v>
      </c>
      <c r="F69" s="54" t="s">
        <v>71</v>
      </c>
      <c r="G69" s="54" t="s">
        <v>72</v>
      </c>
    </row>
    <row r="72">
      <c r="B72" s="55" t="s">
        <v>81</v>
      </c>
      <c r="C72" s="55">
        <f t="shared" ref="C72:G72" si="4">COUNTIF(C$3:C$68,$B72)</f>
        <v>17</v>
      </c>
      <c r="D72" s="55">
        <f t="shared" si="4"/>
        <v>24</v>
      </c>
      <c r="E72" s="55">
        <f t="shared" si="4"/>
        <v>1</v>
      </c>
      <c r="F72" s="55">
        <f t="shared" si="4"/>
        <v>5</v>
      </c>
      <c r="G72" s="55">
        <f t="shared" si="4"/>
        <v>2</v>
      </c>
      <c r="H72" s="3">
        <f t="shared" ref="H72:H75" si="6">SUM(C72:G72)</f>
        <v>49</v>
      </c>
      <c r="L72" s="55" t="s">
        <v>81</v>
      </c>
      <c r="M72" s="55">
        <f>COUNTIF(M$3:M$68,$B72)</f>
        <v>31</v>
      </c>
    </row>
    <row r="73">
      <c r="B73" s="55" t="s">
        <v>85</v>
      </c>
      <c r="C73" s="55">
        <f t="shared" ref="C73:C74" si="7">COUNTIF(C$3:C$68,B73)</f>
        <v>49</v>
      </c>
      <c r="D73" s="55">
        <f t="shared" ref="D73:G73" si="5">COUNTIF(D$3:D$68,$B73)</f>
        <v>25</v>
      </c>
      <c r="E73" s="55">
        <f t="shared" si="5"/>
        <v>17</v>
      </c>
      <c r="F73" s="55">
        <f t="shared" si="5"/>
        <v>5</v>
      </c>
      <c r="G73" s="55">
        <f t="shared" si="5"/>
        <v>5</v>
      </c>
      <c r="H73" s="3">
        <f t="shared" si="6"/>
        <v>101</v>
      </c>
      <c r="L73" s="55" t="s">
        <v>85</v>
      </c>
      <c r="M73" s="55">
        <f t="shared" ref="M73:M74" si="9">COUNTIF(M$3:M$68,L73)</f>
        <v>26</v>
      </c>
    </row>
    <row r="74">
      <c r="B74" s="55" t="s">
        <v>82</v>
      </c>
      <c r="C74" s="55">
        <f t="shared" si="7"/>
        <v>0</v>
      </c>
      <c r="D74" s="55">
        <f t="shared" ref="D74:G74" si="8">COUNTIF(D$3:D$68,$B74)</f>
        <v>2</v>
      </c>
      <c r="E74" s="55">
        <f t="shared" si="8"/>
        <v>3</v>
      </c>
      <c r="F74" s="55">
        <f t="shared" si="8"/>
        <v>3</v>
      </c>
      <c r="G74" s="55">
        <f t="shared" si="8"/>
        <v>2</v>
      </c>
      <c r="H74" s="3">
        <f t="shared" si="6"/>
        <v>10</v>
      </c>
      <c r="L74" s="55" t="s">
        <v>82</v>
      </c>
      <c r="M74" s="55">
        <f t="shared" si="9"/>
        <v>1</v>
      </c>
    </row>
    <row r="75">
      <c r="B75" s="55" t="s">
        <v>238</v>
      </c>
      <c r="C75" s="55">
        <f t="shared" ref="C75:G75" si="10">COUNTIF(C$3:C$68,"")</f>
        <v>0</v>
      </c>
      <c r="D75" s="55">
        <f t="shared" si="10"/>
        <v>15</v>
      </c>
      <c r="E75" s="55">
        <f t="shared" si="10"/>
        <v>45</v>
      </c>
      <c r="F75" s="55">
        <f t="shared" si="10"/>
        <v>53</v>
      </c>
      <c r="G75" s="55">
        <f t="shared" si="10"/>
        <v>57</v>
      </c>
      <c r="H75" s="3">
        <f t="shared" si="6"/>
        <v>170</v>
      </c>
      <c r="L75" s="55" t="s">
        <v>238</v>
      </c>
      <c r="M75" s="55">
        <f>COUNTIF(M$3:M$68,"")</f>
        <v>7</v>
      </c>
    </row>
    <row r="76">
      <c r="C76" s="3">
        <f t="shared" ref="C76:G76" si="11">SUM(C72:C75)</f>
        <v>66</v>
      </c>
      <c r="D76" s="3">
        <f t="shared" si="11"/>
        <v>66</v>
      </c>
      <c r="E76" s="3">
        <f t="shared" si="11"/>
        <v>66</v>
      </c>
      <c r="F76" s="3">
        <f t="shared" si="11"/>
        <v>66</v>
      </c>
      <c r="G76" s="3">
        <f t="shared" si="11"/>
        <v>66</v>
      </c>
      <c r="M76" s="3">
        <f>SUM(M72:M75)</f>
        <v>65</v>
      </c>
    </row>
    <row r="79">
      <c r="D79" s="8" t="s">
        <v>239</v>
      </c>
    </row>
    <row r="80">
      <c r="D80" s="8" t="s">
        <v>240</v>
      </c>
    </row>
    <row r="81">
      <c r="D81" s="8" t="s">
        <v>241</v>
      </c>
    </row>
    <row r="82">
      <c r="D82" s="8" t="s">
        <v>242</v>
      </c>
    </row>
    <row r="83">
      <c r="D83" s="8" t="s">
        <v>243</v>
      </c>
    </row>
    <row r="84">
      <c r="L84" s="56" t="s">
        <v>244</v>
      </c>
      <c r="M84" s="56" t="s">
        <v>245</v>
      </c>
      <c r="N84" s="56" t="s">
        <v>73</v>
      </c>
    </row>
    <row r="85">
      <c r="L85" s="57" t="s">
        <v>246</v>
      </c>
      <c r="M85" s="56" t="s">
        <v>247</v>
      </c>
      <c r="N85" s="56" t="s">
        <v>81</v>
      </c>
      <c r="O85" s="8" t="str">
        <f t="shared" ref="O85:O100" si="12">L85&amp;" "&amp;M85</f>
        <v>Carlos Peralta</v>
      </c>
    </row>
    <row r="86">
      <c r="C86" s="8" t="s">
        <v>248</v>
      </c>
      <c r="L86" s="58" t="s">
        <v>249</v>
      </c>
      <c r="M86" s="56" t="s">
        <v>250</v>
      </c>
      <c r="N86" s="56" t="s">
        <v>81</v>
      </c>
      <c r="O86" s="8" t="str">
        <f t="shared" si="12"/>
        <v>Cathy Uskin</v>
      </c>
    </row>
    <row r="87">
      <c r="C87" s="8" t="s">
        <v>251</v>
      </c>
      <c r="L87" s="58" t="s">
        <v>252</v>
      </c>
      <c r="M87" s="56" t="s">
        <v>253</v>
      </c>
      <c r="N87" s="56" t="s">
        <v>81</v>
      </c>
      <c r="O87" s="8" t="str">
        <f t="shared" si="12"/>
        <v>Gillian Shriner</v>
      </c>
    </row>
    <row r="88">
      <c r="C88" s="8" t="s">
        <v>254</v>
      </c>
      <c r="E88" s="8" t="s">
        <v>255</v>
      </c>
      <c r="H88" s="8" t="s">
        <v>256</v>
      </c>
      <c r="L88" s="58" t="s">
        <v>257</v>
      </c>
      <c r="M88" s="56" t="s">
        <v>258</v>
      </c>
      <c r="N88" s="56" t="s">
        <v>81</v>
      </c>
      <c r="O88" s="8" t="str">
        <f t="shared" si="12"/>
        <v>James MacArthur</v>
      </c>
    </row>
    <row r="89">
      <c r="E89" s="8" t="s">
        <v>259</v>
      </c>
      <c r="F89" s="8" t="s">
        <v>260</v>
      </c>
      <c r="H89" s="8" t="s">
        <v>259</v>
      </c>
      <c r="I89" s="8" t="s">
        <v>260</v>
      </c>
      <c r="L89" s="58" t="s">
        <v>261</v>
      </c>
      <c r="M89" s="56" t="s">
        <v>262</v>
      </c>
      <c r="N89" s="56" t="s">
        <v>81</v>
      </c>
      <c r="O89" s="8" t="str">
        <f t="shared" si="12"/>
        <v>Kathleen Batstone</v>
      </c>
    </row>
    <row r="90">
      <c r="D90" s="8" t="s">
        <v>263</v>
      </c>
      <c r="E90" s="59" t="s">
        <v>264</v>
      </c>
      <c r="L90" s="58" t="s">
        <v>265</v>
      </c>
      <c r="M90" s="60" t="s">
        <v>266</v>
      </c>
      <c r="N90" s="56" t="s">
        <v>81</v>
      </c>
      <c r="O90" s="8" t="str">
        <f t="shared" si="12"/>
        <v>Kimberly Irving</v>
      </c>
    </row>
    <row r="91">
      <c r="D91" s="8" t="s">
        <v>267</v>
      </c>
      <c r="E91" s="47" t="s">
        <v>173</v>
      </c>
      <c r="F91" s="47" t="s">
        <v>184</v>
      </c>
      <c r="H91" s="48" t="s">
        <v>95</v>
      </c>
      <c r="I91" s="48" t="s">
        <v>180</v>
      </c>
      <c r="L91" s="58" t="s">
        <v>268</v>
      </c>
      <c r="M91" s="56" t="s">
        <v>269</v>
      </c>
      <c r="N91" s="56" t="s">
        <v>81</v>
      </c>
      <c r="O91" s="8" t="str">
        <f t="shared" si="12"/>
        <v>Lindsay Glennie</v>
      </c>
    </row>
    <row r="92">
      <c r="D92" s="8" t="s">
        <v>270</v>
      </c>
      <c r="E92" s="47" t="s">
        <v>213</v>
      </c>
      <c r="F92" s="47" t="s">
        <v>108</v>
      </c>
      <c r="L92" s="58" t="s">
        <v>271</v>
      </c>
      <c r="M92" s="56" t="s">
        <v>272</v>
      </c>
      <c r="N92" s="56" t="s">
        <v>81</v>
      </c>
      <c r="O92" s="8" t="str">
        <f t="shared" si="12"/>
        <v>Liz Antal</v>
      </c>
    </row>
    <row r="93">
      <c r="D93" s="8" t="s">
        <v>273</v>
      </c>
      <c r="E93" s="59" t="s">
        <v>264</v>
      </c>
      <c r="L93" s="58" t="s">
        <v>274</v>
      </c>
      <c r="M93" s="56" t="s">
        <v>275</v>
      </c>
      <c r="N93" s="56" t="s">
        <v>81</v>
      </c>
      <c r="O93" s="8" t="str">
        <f t="shared" si="12"/>
        <v>Margaret Battista</v>
      </c>
    </row>
    <row r="94">
      <c r="D94" s="8" t="s">
        <v>276</v>
      </c>
      <c r="E94" s="47" t="s">
        <v>132</v>
      </c>
      <c r="F94" s="47" t="s">
        <v>187</v>
      </c>
      <c r="L94" s="58" t="s">
        <v>277</v>
      </c>
      <c r="M94" s="56" t="s">
        <v>278</v>
      </c>
      <c r="N94" s="56" t="s">
        <v>81</v>
      </c>
      <c r="O94" s="8" t="str">
        <f t="shared" si="12"/>
        <v>Marge Cruz</v>
      </c>
    </row>
    <row r="95">
      <c r="D95" s="8" t="s">
        <v>279</v>
      </c>
      <c r="E95" s="47" t="s">
        <v>127</v>
      </c>
      <c r="F95" s="47" t="s">
        <v>157</v>
      </c>
      <c r="L95" s="58" t="s">
        <v>280</v>
      </c>
      <c r="M95" s="56" t="s">
        <v>278</v>
      </c>
      <c r="N95" s="56" t="s">
        <v>81</v>
      </c>
      <c r="O95" s="8" t="str">
        <f t="shared" si="12"/>
        <v>Mario Cruz</v>
      </c>
    </row>
    <row r="96">
      <c r="D96" s="8" t="s">
        <v>281</v>
      </c>
      <c r="E96" s="59" t="s">
        <v>264</v>
      </c>
      <c r="L96" s="58" t="s">
        <v>282</v>
      </c>
      <c r="M96" s="56" t="s">
        <v>283</v>
      </c>
      <c r="N96" s="56" t="s">
        <v>81</v>
      </c>
      <c r="O96" s="8" t="str">
        <f t="shared" si="12"/>
        <v>Meliss Chue</v>
      </c>
    </row>
    <row r="97">
      <c r="D97" s="8" t="s">
        <v>284</v>
      </c>
      <c r="E97" s="47" t="s">
        <v>145</v>
      </c>
      <c r="F97" s="47" t="s">
        <v>122</v>
      </c>
      <c r="L97" s="58" t="s">
        <v>285</v>
      </c>
      <c r="M97" s="56" t="s">
        <v>286</v>
      </c>
      <c r="N97" s="56" t="s">
        <v>81</v>
      </c>
      <c r="O97" s="8" t="str">
        <f t="shared" si="12"/>
        <v>Nicki Landry</v>
      </c>
    </row>
    <row r="98">
      <c r="D98" s="8" t="s">
        <v>287</v>
      </c>
      <c r="E98" s="47" t="s">
        <v>92</v>
      </c>
      <c r="F98" s="47" t="s">
        <v>203</v>
      </c>
      <c r="L98" s="58" t="s">
        <v>288</v>
      </c>
      <c r="M98" s="56" t="s">
        <v>289</v>
      </c>
      <c r="N98" s="56" t="s">
        <v>81</v>
      </c>
      <c r="O98" s="8" t="str">
        <f t="shared" si="12"/>
        <v>Tara McKendrick</v>
      </c>
    </row>
    <row r="99">
      <c r="D99" s="8" t="s">
        <v>290</v>
      </c>
      <c r="E99" s="59" t="s">
        <v>264</v>
      </c>
      <c r="L99" s="58" t="s">
        <v>291</v>
      </c>
      <c r="M99" s="56" t="s">
        <v>258</v>
      </c>
      <c r="N99" s="56" t="s">
        <v>81</v>
      </c>
      <c r="O99" s="8" t="str">
        <f t="shared" si="12"/>
        <v>Yolanda MacArthur</v>
      </c>
    </row>
    <row r="100">
      <c r="L100" s="58" t="s">
        <v>292</v>
      </c>
      <c r="M100" s="56" t="s">
        <v>250</v>
      </c>
      <c r="N100" s="56" t="s">
        <v>81</v>
      </c>
      <c r="O100" s="8" t="str">
        <f t="shared" si="12"/>
        <v>Bill Uskin</v>
      </c>
    </row>
    <row r="101">
      <c r="D101" s="8" t="s">
        <v>293</v>
      </c>
      <c r="E101" s="8" t="s">
        <v>168</v>
      </c>
      <c r="F101" s="42" t="s">
        <v>139</v>
      </c>
    </row>
    <row r="104" ht="14.25" customHeight="1"/>
    <row r="105">
      <c r="B105" s="8" t="s">
        <v>294</v>
      </c>
      <c r="L105" s="8" t="s">
        <v>295</v>
      </c>
    </row>
    <row r="106">
      <c r="B106" s="8" t="s">
        <v>259</v>
      </c>
      <c r="C106" s="8" t="s">
        <v>260</v>
      </c>
      <c r="K106" s="8" t="s">
        <v>81</v>
      </c>
      <c r="L106" s="56" t="s">
        <v>80</v>
      </c>
    </row>
    <row r="107">
      <c r="A107" s="8" t="s">
        <v>263</v>
      </c>
      <c r="B107" s="61" t="s">
        <v>216</v>
      </c>
      <c r="C107" s="61" t="s">
        <v>135</v>
      </c>
      <c r="K107" s="8" t="s">
        <v>81</v>
      </c>
      <c r="L107" s="56" t="s">
        <v>90</v>
      </c>
    </row>
    <row r="108">
      <c r="A108" s="8" t="s">
        <v>267</v>
      </c>
      <c r="B108" s="61" t="s">
        <v>100</v>
      </c>
      <c r="C108" s="61" t="s">
        <v>184</v>
      </c>
      <c r="K108" s="8" t="s">
        <v>81</v>
      </c>
      <c r="L108" s="56" t="s">
        <v>92</v>
      </c>
    </row>
    <row r="109">
      <c r="A109" s="8" t="s">
        <v>270</v>
      </c>
      <c r="B109" s="62" t="s">
        <v>296</v>
      </c>
      <c r="C109" s="61" t="s">
        <v>187</v>
      </c>
      <c r="K109" s="8" t="s">
        <v>81</v>
      </c>
      <c r="L109" s="56" t="s">
        <v>108</v>
      </c>
      <c r="M109" s="56" t="s">
        <v>100</v>
      </c>
    </row>
    <row r="110">
      <c r="A110" s="8" t="s">
        <v>273</v>
      </c>
      <c r="B110" s="61" t="s">
        <v>145</v>
      </c>
      <c r="C110" s="61" t="s">
        <v>180</v>
      </c>
      <c r="K110" s="8" t="s">
        <v>81</v>
      </c>
      <c r="L110" s="56" t="s">
        <v>127</v>
      </c>
      <c r="N110" s="56" t="s">
        <v>104</v>
      </c>
    </row>
    <row r="111">
      <c r="A111" s="8" t="s">
        <v>276</v>
      </c>
      <c r="B111" s="61" t="s">
        <v>127</v>
      </c>
      <c r="C111" s="61" t="s">
        <v>160</v>
      </c>
      <c r="D111" s="8"/>
      <c r="K111" s="8" t="s">
        <v>81</v>
      </c>
      <c r="L111" s="56" t="s">
        <v>132</v>
      </c>
    </row>
    <row r="112">
      <c r="A112" s="8" t="s">
        <v>297</v>
      </c>
      <c r="B112" s="63" t="s">
        <v>298</v>
      </c>
      <c r="D112" s="8"/>
      <c r="K112" s="8" t="s">
        <v>81</v>
      </c>
      <c r="L112" s="56" t="s">
        <v>139</v>
      </c>
    </row>
    <row r="113">
      <c r="D113" s="8"/>
      <c r="K113" s="8" t="s">
        <v>81</v>
      </c>
      <c r="L113" s="56" t="s">
        <v>148</v>
      </c>
      <c r="N113" s="56" t="s">
        <v>111</v>
      </c>
    </row>
    <row r="114">
      <c r="D114" s="8"/>
      <c r="K114" s="8" t="s">
        <v>81</v>
      </c>
      <c r="L114" s="56" t="s">
        <v>157</v>
      </c>
      <c r="M114" s="56" t="s">
        <v>115</v>
      </c>
      <c r="N114" s="56" t="s">
        <v>120</v>
      </c>
    </row>
    <row r="115">
      <c r="K115" s="8" t="s">
        <v>81</v>
      </c>
      <c r="L115" s="56" t="s">
        <v>173</v>
      </c>
    </row>
    <row r="116">
      <c r="K116" s="8" t="s">
        <v>81</v>
      </c>
      <c r="L116" s="56" t="s">
        <v>180</v>
      </c>
    </row>
    <row r="117">
      <c r="K117" s="8" t="s">
        <v>81</v>
      </c>
      <c r="L117" s="56" t="s">
        <v>184</v>
      </c>
    </row>
    <row r="118">
      <c r="K118" s="8" t="s">
        <v>81</v>
      </c>
      <c r="L118" s="56" t="s">
        <v>187</v>
      </c>
      <c r="M118" s="56" t="s">
        <v>135</v>
      </c>
    </row>
    <row r="119">
      <c r="C119" s="64"/>
      <c r="D119" s="64"/>
      <c r="E119" s="64"/>
      <c r="F119" s="64"/>
      <c r="G119" s="64"/>
      <c r="K119" s="8" t="s">
        <v>81</v>
      </c>
      <c r="L119" s="56" t="s">
        <v>203</v>
      </c>
    </row>
    <row r="120">
      <c r="C120" s="64"/>
      <c r="D120" s="64"/>
      <c r="E120" s="64"/>
      <c r="F120" s="64"/>
      <c r="K120" s="8" t="s">
        <v>81</v>
      </c>
      <c r="L120" s="56" t="s">
        <v>213</v>
      </c>
      <c r="N120" s="56" t="s">
        <v>143</v>
      </c>
    </row>
    <row r="121">
      <c r="C121" s="64"/>
      <c r="D121" s="64"/>
      <c r="E121" s="64" t="s">
        <v>259</v>
      </c>
      <c r="F121" s="64" t="s">
        <v>260</v>
      </c>
      <c r="G121" s="64"/>
      <c r="K121" s="8" t="s">
        <v>81</v>
      </c>
      <c r="L121" s="56" t="s">
        <v>234</v>
      </c>
    </row>
    <row r="122">
      <c r="C122" s="64"/>
      <c r="D122" s="64" t="s">
        <v>263</v>
      </c>
      <c r="G122" s="64"/>
      <c r="K122" s="8" t="s">
        <v>81</v>
      </c>
      <c r="L122" s="8" t="s">
        <v>200</v>
      </c>
    </row>
    <row r="123">
      <c r="C123" s="64"/>
      <c r="D123" s="64" t="s">
        <v>267</v>
      </c>
      <c r="E123" s="65" t="s">
        <v>180</v>
      </c>
      <c r="F123" s="65" t="s">
        <v>184</v>
      </c>
      <c r="G123" s="64"/>
      <c r="M123" s="56" t="s">
        <v>160</v>
      </c>
    </row>
    <row r="124">
      <c r="C124" s="64"/>
      <c r="D124" s="64" t="s">
        <v>270</v>
      </c>
      <c r="E124" s="65" t="s">
        <v>127</v>
      </c>
      <c r="F124" s="65" t="s">
        <v>90</v>
      </c>
      <c r="G124" s="64"/>
      <c r="N124" s="56" t="s">
        <v>164</v>
      </c>
    </row>
    <row r="125">
      <c r="C125" s="64"/>
      <c r="D125" s="64" t="s">
        <v>273</v>
      </c>
      <c r="E125" s="65" t="s">
        <v>148</v>
      </c>
      <c r="F125" s="65" t="s">
        <v>173</v>
      </c>
      <c r="G125" s="64"/>
    </row>
    <row r="126">
      <c r="C126" s="64"/>
      <c r="D126" s="64" t="s">
        <v>276</v>
      </c>
      <c r="E126" s="65" t="s">
        <v>187</v>
      </c>
      <c r="F126" s="65" t="s">
        <v>234</v>
      </c>
      <c r="G126" s="64"/>
    </row>
    <row r="127">
      <c r="C127" s="64"/>
      <c r="D127" s="64" t="s">
        <v>279</v>
      </c>
      <c r="E127" s="65" t="s">
        <v>132</v>
      </c>
      <c r="F127" s="64" t="s">
        <v>126</v>
      </c>
      <c r="G127" s="64"/>
    </row>
    <row r="128">
      <c r="C128" s="64"/>
      <c r="D128" s="64" t="s">
        <v>281</v>
      </c>
      <c r="E128" s="65" t="s">
        <v>92</v>
      </c>
      <c r="F128" s="65" t="s">
        <v>108</v>
      </c>
      <c r="G128" s="64"/>
    </row>
    <row r="129">
      <c r="C129" s="64"/>
      <c r="D129" s="64" t="s">
        <v>284</v>
      </c>
      <c r="E129" s="65" t="s">
        <v>157</v>
      </c>
      <c r="F129" s="66" t="s">
        <v>299</v>
      </c>
      <c r="G129" s="64"/>
      <c r="N129" s="56" t="s">
        <v>196</v>
      </c>
    </row>
    <row r="130">
      <c r="C130" s="64"/>
      <c r="D130" s="64" t="s">
        <v>287</v>
      </c>
      <c r="E130" s="66" t="s">
        <v>213</v>
      </c>
      <c r="F130" s="65" t="s">
        <v>203</v>
      </c>
      <c r="G130" s="64"/>
    </row>
    <row r="131">
      <c r="C131" s="64"/>
      <c r="D131" s="64" t="s">
        <v>290</v>
      </c>
      <c r="E131" s="64"/>
      <c r="G131" s="64"/>
      <c r="N131" s="56" t="s">
        <v>210</v>
      </c>
    </row>
    <row r="132">
      <c r="C132" s="64"/>
      <c r="D132" s="64"/>
      <c r="E132" s="64"/>
      <c r="F132" s="64"/>
      <c r="G132" s="64"/>
    </row>
    <row r="133">
      <c r="C133" s="64"/>
      <c r="D133" s="64"/>
      <c r="E133" s="64"/>
      <c r="F133" s="64"/>
      <c r="G133" s="64"/>
      <c r="M133" s="56" t="s">
        <v>216</v>
      </c>
    </row>
    <row r="134">
      <c r="C134" s="64"/>
      <c r="D134" s="64"/>
      <c r="E134" s="64"/>
      <c r="F134" s="64"/>
      <c r="G134" s="64"/>
      <c r="N134" s="56" t="s">
        <v>226</v>
      </c>
    </row>
    <row r="135">
      <c r="C135" s="64"/>
      <c r="D135" s="64"/>
      <c r="E135" s="64"/>
      <c r="F135" s="64"/>
      <c r="G135" s="64"/>
    </row>
    <row r="136">
      <c r="C136" s="64"/>
      <c r="D136" s="64"/>
      <c r="E136" s="64"/>
      <c r="F136" s="64"/>
      <c r="G136" s="64"/>
    </row>
    <row r="147">
      <c r="L147" s="67" t="s">
        <v>300</v>
      </c>
      <c r="M147" s="67" t="s">
        <v>301</v>
      </c>
      <c r="N147" s="67" t="s">
        <v>302</v>
      </c>
      <c r="O147" s="67" t="s">
        <v>303</v>
      </c>
      <c r="P147" s="67" t="s">
        <v>304</v>
      </c>
      <c r="Q147" s="67" t="s">
        <v>305</v>
      </c>
    </row>
    <row r="148">
      <c r="L148" s="67" t="s">
        <v>80</v>
      </c>
      <c r="M148" s="67" t="s">
        <v>81</v>
      </c>
      <c r="N148" s="67" t="s">
        <v>81</v>
      </c>
      <c r="O148" s="67" t="s">
        <v>85</v>
      </c>
      <c r="P148" s="68"/>
      <c r="Q148" s="67" t="s">
        <v>81</v>
      </c>
    </row>
    <row r="149">
      <c r="L149" s="67" t="s">
        <v>84</v>
      </c>
      <c r="M149" s="67" t="s">
        <v>81</v>
      </c>
      <c r="N149" s="68"/>
      <c r="O149" s="68"/>
      <c r="P149" s="68"/>
      <c r="Q149" s="68"/>
    </row>
    <row r="150" hidden="1">
      <c r="L150" s="67" t="s">
        <v>87</v>
      </c>
      <c r="M150" s="67" t="s">
        <v>85</v>
      </c>
      <c r="N150" s="67" t="s">
        <v>85</v>
      </c>
      <c r="O150" s="67" t="s">
        <v>82</v>
      </c>
      <c r="P150" s="68"/>
      <c r="Q150" s="68"/>
    </row>
    <row r="151">
      <c r="L151" s="67" t="s">
        <v>90</v>
      </c>
      <c r="M151" s="67" t="s">
        <v>81</v>
      </c>
      <c r="N151" s="67" t="s">
        <v>81</v>
      </c>
      <c r="O151" s="67" t="s">
        <v>85</v>
      </c>
      <c r="P151" s="68"/>
      <c r="Q151" s="68"/>
    </row>
    <row r="152" hidden="1">
      <c r="L152" s="67" t="s">
        <v>92</v>
      </c>
      <c r="M152" s="67" t="s">
        <v>85</v>
      </c>
      <c r="N152" s="68"/>
      <c r="O152" s="68"/>
      <c r="P152" s="68"/>
      <c r="Q152" s="68"/>
    </row>
    <row r="153">
      <c r="L153" s="67" t="s">
        <v>95</v>
      </c>
      <c r="M153" s="67" t="s">
        <v>81</v>
      </c>
      <c r="N153" s="67" t="s">
        <v>81</v>
      </c>
      <c r="O153" s="68"/>
      <c r="P153" s="68"/>
      <c r="Q153" s="68"/>
    </row>
    <row r="154" hidden="1">
      <c r="L154" s="67" t="s">
        <v>100</v>
      </c>
      <c r="M154" s="68"/>
      <c r="N154" s="68"/>
      <c r="O154" s="68"/>
      <c r="P154" s="68"/>
      <c r="Q154" s="68"/>
    </row>
    <row r="155" hidden="1">
      <c r="L155" s="67" t="s">
        <v>102</v>
      </c>
      <c r="M155" s="67" t="s">
        <v>85</v>
      </c>
      <c r="N155" s="68"/>
      <c r="O155" s="68"/>
      <c r="P155" s="68"/>
      <c r="Q155" s="68"/>
    </row>
    <row r="156">
      <c r="L156" s="67" t="s">
        <v>104</v>
      </c>
      <c r="M156" s="67" t="s">
        <v>81</v>
      </c>
      <c r="N156" s="67" t="s">
        <v>81</v>
      </c>
      <c r="O156" s="68"/>
      <c r="P156" s="68"/>
      <c r="Q156" s="67" t="s">
        <v>81</v>
      </c>
    </row>
    <row r="157" hidden="1">
      <c r="L157" s="67" t="s">
        <v>106</v>
      </c>
      <c r="M157" s="67" t="s">
        <v>85</v>
      </c>
      <c r="N157" s="68"/>
      <c r="O157" s="68"/>
      <c r="P157" s="68"/>
      <c r="Q157" s="68"/>
    </row>
    <row r="158">
      <c r="L158" s="67" t="s">
        <v>108</v>
      </c>
      <c r="M158" s="67" t="s">
        <v>81</v>
      </c>
      <c r="N158" s="68"/>
      <c r="O158" s="68"/>
      <c r="P158" s="68"/>
      <c r="Q158" s="68"/>
    </row>
    <row r="159" hidden="1">
      <c r="L159" s="67" t="s">
        <v>111</v>
      </c>
      <c r="M159" s="67" t="s">
        <v>85</v>
      </c>
      <c r="N159" s="67" t="s">
        <v>85</v>
      </c>
      <c r="O159" s="68"/>
      <c r="P159" s="68"/>
      <c r="Q159" s="68"/>
    </row>
    <row r="160">
      <c r="L160" s="67" t="s">
        <v>113</v>
      </c>
      <c r="M160" s="67" t="s">
        <v>81</v>
      </c>
      <c r="N160" s="67" t="s">
        <v>81</v>
      </c>
      <c r="O160" s="67" t="s">
        <v>81</v>
      </c>
      <c r="P160" s="67" t="s">
        <v>81</v>
      </c>
      <c r="Q160" s="67" t="s">
        <v>81</v>
      </c>
    </row>
    <row r="161">
      <c r="L161" s="67" t="s">
        <v>115</v>
      </c>
      <c r="M161" s="67" t="s">
        <v>81</v>
      </c>
      <c r="N161" s="67" t="s">
        <v>81</v>
      </c>
      <c r="O161" s="67" t="s">
        <v>81</v>
      </c>
      <c r="P161" s="67" t="s">
        <v>81</v>
      </c>
      <c r="Q161" s="67" t="s">
        <v>81</v>
      </c>
    </row>
    <row r="162">
      <c r="L162" s="67" t="s">
        <v>306</v>
      </c>
      <c r="M162" s="67" t="s">
        <v>81</v>
      </c>
      <c r="N162" s="67" t="s">
        <v>81</v>
      </c>
      <c r="O162" s="68"/>
      <c r="P162" s="68"/>
      <c r="Q162" s="67" t="s">
        <v>81</v>
      </c>
    </row>
    <row r="163">
      <c r="L163" s="67" t="s">
        <v>117</v>
      </c>
      <c r="M163" s="67" t="s">
        <v>81</v>
      </c>
      <c r="N163" s="67" t="s">
        <v>81</v>
      </c>
      <c r="O163" s="68"/>
      <c r="P163" s="68"/>
      <c r="Q163" s="67" t="s">
        <v>81</v>
      </c>
    </row>
    <row r="164">
      <c r="L164" s="67" t="s">
        <v>307</v>
      </c>
      <c r="M164" s="67" t="s">
        <v>81</v>
      </c>
      <c r="N164" s="67" t="s">
        <v>81</v>
      </c>
      <c r="O164" s="68"/>
      <c r="P164" s="68"/>
      <c r="Q164" s="67" t="s">
        <v>81</v>
      </c>
    </row>
    <row r="165">
      <c r="L165" s="67" t="s">
        <v>120</v>
      </c>
      <c r="M165" s="67" t="s">
        <v>81</v>
      </c>
      <c r="N165" s="67" t="s">
        <v>81</v>
      </c>
      <c r="O165" s="68"/>
      <c r="P165" s="68"/>
      <c r="Q165" s="67" t="s">
        <v>81</v>
      </c>
    </row>
    <row r="166">
      <c r="L166" s="67" t="s">
        <v>122</v>
      </c>
      <c r="M166" s="67" t="s">
        <v>81</v>
      </c>
      <c r="N166" s="67" t="s">
        <v>81</v>
      </c>
      <c r="O166" s="68"/>
      <c r="P166" s="68"/>
      <c r="Q166" s="67" t="s">
        <v>81</v>
      </c>
    </row>
    <row r="167">
      <c r="L167" s="67" t="s">
        <v>308</v>
      </c>
      <c r="M167" s="67" t="s">
        <v>81</v>
      </c>
      <c r="N167" s="67" t="s">
        <v>81</v>
      </c>
      <c r="O167" s="68"/>
      <c r="P167" s="68"/>
      <c r="Q167" s="68"/>
    </row>
    <row r="168">
      <c r="L168" s="67" t="s">
        <v>124</v>
      </c>
      <c r="M168" s="67" t="s">
        <v>81</v>
      </c>
      <c r="N168" s="67" t="s">
        <v>81</v>
      </c>
      <c r="O168" s="68"/>
      <c r="P168" s="68"/>
      <c r="Q168" s="68"/>
    </row>
    <row r="169">
      <c r="L169" s="67" t="s">
        <v>127</v>
      </c>
      <c r="M169" s="67" t="s">
        <v>81</v>
      </c>
      <c r="N169" s="67" t="s">
        <v>81</v>
      </c>
      <c r="O169" s="68"/>
      <c r="P169" s="68"/>
      <c r="Q169" s="68"/>
    </row>
    <row r="170">
      <c r="L170" s="67" t="s">
        <v>130</v>
      </c>
      <c r="M170" s="67" t="s">
        <v>81</v>
      </c>
      <c r="N170" s="67" t="s">
        <v>81</v>
      </c>
      <c r="O170" s="68"/>
      <c r="P170" s="68"/>
      <c r="Q170" s="68"/>
    </row>
    <row r="171">
      <c r="L171" s="67" t="s">
        <v>132</v>
      </c>
      <c r="M171" s="67" t="s">
        <v>81</v>
      </c>
      <c r="N171" s="67" t="s">
        <v>81</v>
      </c>
      <c r="O171" s="68"/>
      <c r="P171" s="68"/>
      <c r="Q171" s="68"/>
    </row>
    <row r="172">
      <c r="L172" s="67" t="s">
        <v>135</v>
      </c>
      <c r="M172" s="67" t="s">
        <v>81</v>
      </c>
      <c r="N172" s="67" t="s">
        <v>81</v>
      </c>
      <c r="O172" s="68"/>
      <c r="P172" s="68"/>
      <c r="Q172" s="68"/>
    </row>
    <row r="173">
      <c r="L173" s="67" t="s">
        <v>137</v>
      </c>
      <c r="M173" s="67" t="s">
        <v>81</v>
      </c>
      <c r="N173" s="67" t="s">
        <v>81</v>
      </c>
      <c r="O173" s="68"/>
      <c r="P173" s="68"/>
      <c r="Q173" s="68"/>
    </row>
    <row r="174">
      <c r="L174" s="67" t="s">
        <v>139</v>
      </c>
      <c r="M174" s="67" t="s">
        <v>81</v>
      </c>
      <c r="N174" s="67" t="s">
        <v>82</v>
      </c>
      <c r="O174" s="68"/>
      <c r="P174" s="67" t="s">
        <v>82</v>
      </c>
      <c r="Q174" s="68"/>
    </row>
    <row r="175">
      <c r="L175" s="67" t="s">
        <v>141</v>
      </c>
      <c r="M175" s="67" t="s">
        <v>81</v>
      </c>
      <c r="N175" s="67" t="s">
        <v>81</v>
      </c>
      <c r="O175" s="68"/>
      <c r="P175" s="68"/>
      <c r="Q175" s="68"/>
    </row>
    <row r="176">
      <c r="L176" s="67" t="s">
        <v>143</v>
      </c>
      <c r="M176" s="67" t="s">
        <v>81</v>
      </c>
      <c r="N176" s="68"/>
      <c r="O176" s="68"/>
      <c r="P176" s="68"/>
      <c r="Q176" s="68"/>
    </row>
    <row r="177">
      <c r="L177" s="67" t="s">
        <v>145</v>
      </c>
      <c r="M177" s="67" t="s">
        <v>81</v>
      </c>
      <c r="N177" s="68"/>
      <c r="O177" s="68"/>
      <c r="P177" s="68"/>
      <c r="Q177" s="67" t="s">
        <v>82</v>
      </c>
    </row>
    <row r="178">
      <c r="L178" s="67" t="s">
        <v>148</v>
      </c>
      <c r="M178" s="67" t="s">
        <v>81</v>
      </c>
      <c r="N178" s="68"/>
      <c r="O178" s="67" t="s">
        <v>82</v>
      </c>
      <c r="P178" s="68"/>
      <c r="Q178" s="68"/>
    </row>
    <row r="179">
      <c r="L179" s="67" t="s">
        <v>150</v>
      </c>
      <c r="M179" s="67" t="s">
        <v>81</v>
      </c>
      <c r="N179" s="68"/>
      <c r="O179" s="68"/>
      <c r="P179" s="68"/>
      <c r="Q179" s="68"/>
    </row>
    <row r="180">
      <c r="L180" s="67" t="s">
        <v>152</v>
      </c>
      <c r="M180" s="67" t="s">
        <v>81</v>
      </c>
      <c r="N180" s="68"/>
      <c r="O180" s="68"/>
      <c r="P180" s="68"/>
      <c r="Q180" s="68"/>
    </row>
    <row r="181">
      <c r="L181" s="67" t="s">
        <v>154</v>
      </c>
      <c r="M181" s="67" t="s">
        <v>81</v>
      </c>
      <c r="N181" s="68"/>
      <c r="O181" s="68"/>
      <c r="P181" s="68"/>
      <c r="Q181" s="68"/>
    </row>
    <row r="182" hidden="1">
      <c r="L182" s="67" t="s">
        <v>157</v>
      </c>
      <c r="M182" s="68"/>
      <c r="N182" s="68"/>
      <c r="O182" s="68"/>
      <c r="P182" s="68"/>
      <c r="Q182" s="68"/>
    </row>
    <row r="183" hidden="1">
      <c r="L183" s="67" t="s">
        <v>160</v>
      </c>
      <c r="M183" s="68"/>
      <c r="N183" s="68"/>
      <c r="O183" s="68"/>
      <c r="P183" s="68"/>
      <c r="Q183" s="68"/>
    </row>
    <row r="184" hidden="1">
      <c r="L184" s="67" t="s">
        <v>162</v>
      </c>
      <c r="M184" s="68"/>
      <c r="N184" s="68"/>
      <c r="O184" s="68"/>
      <c r="P184" s="68"/>
      <c r="Q184" s="68"/>
    </row>
    <row r="185" hidden="1">
      <c r="L185" s="67" t="s">
        <v>164</v>
      </c>
      <c r="M185" s="68"/>
      <c r="N185" s="68"/>
      <c r="O185" s="68"/>
      <c r="P185" s="68"/>
      <c r="Q185" s="68"/>
    </row>
    <row r="186" hidden="1">
      <c r="L186" s="67" t="s">
        <v>166</v>
      </c>
      <c r="M186" s="68"/>
      <c r="N186" s="68"/>
      <c r="O186" s="68"/>
      <c r="P186" s="68"/>
      <c r="Q186" s="68"/>
    </row>
    <row r="187" hidden="1">
      <c r="L187" s="67" t="s">
        <v>168</v>
      </c>
      <c r="M187" s="68"/>
      <c r="N187" s="68"/>
      <c r="O187" s="68"/>
      <c r="P187" s="68"/>
      <c r="Q187" s="68"/>
    </row>
    <row r="188" hidden="1">
      <c r="L188" s="67" t="s">
        <v>173</v>
      </c>
      <c r="M188" s="68"/>
      <c r="N188" s="68"/>
      <c r="O188" s="68"/>
      <c r="P188" s="68"/>
      <c r="Q188" s="68"/>
    </row>
    <row r="189" hidden="1">
      <c r="L189" s="67" t="s">
        <v>176</v>
      </c>
      <c r="M189" s="68"/>
      <c r="N189" s="68"/>
      <c r="O189" s="68"/>
      <c r="P189" s="68"/>
      <c r="Q189" s="68"/>
    </row>
    <row r="190" hidden="1">
      <c r="L190" s="67" t="s">
        <v>180</v>
      </c>
      <c r="M190" s="68"/>
      <c r="N190" s="68"/>
      <c r="O190" s="68"/>
      <c r="P190" s="68"/>
      <c r="Q190" s="68"/>
    </row>
    <row r="191" hidden="1">
      <c r="L191" s="67" t="s">
        <v>184</v>
      </c>
      <c r="M191" s="68"/>
      <c r="N191" s="68"/>
      <c r="O191" s="68"/>
      <c r="P191" s="68"/>
      <c r="Q191" s="68"/>
    </row>
    <row r="192" hidden="1">
      <c r="L192" s="67" t="s">
        <v>187</v>
      </c>
      <c r="M192" s="68"/>
      <c r="N192" s="68"/>
      <c r="O192" s="68"/>
      <c r="P192" s="68"/>
      <c r="Q192" s="68"/>
    </row>
    <row r="193" hidden="1">
      <c r="L193" s="67" t="s">
        <v>190</v>
      </c>
      <c r="M193" s="68"/>
      <c r="N193" s="68"/>
      <c r="O193" s="68"/>
      <c r="P193" s="68"/>
      <c r="Q193" s="68"/>
    </row>
    <row r="194" hidden="1">
      <c r="L194" s="67" t="s">
        <v>192</v>
      </c>
      <c r="M194" s="68"/>
      <c r="N194" s="68"/>
      <c r="O194" s="68"/>
      <c r="P194" s="68"/>
      <c r="Q194" s="68"/>
    </row>
    <row r="195" hidden="1">
      <c r="L195" s="67" t="s">
        <v>194</v>
      </c>
      <c r="M195" s="68"/>
      <c r="N195" s="68"/>
      <c r="O195" s="68"/>
      <c r="P195" s="68"/>
      <c r="Q195" s="68"/>
    </row>
    <row r="196" hidden="1">
      <c r="L196" s="67" t="s">
        <v>309</v>
      </c>
      <c r="M196" s="68"/>
      <c r="N196" s="68"/>
      <c r="O196" s="68"/>
      <c r="P196" s="68"/>
      <c r="Q196" s="68"/>
    </row>
    <row r="197" hidden="1">
      <c r="L197" s="67" t="s">
        <v>310</v>
      </c>
      <c r="M197" s="68"/>
      <c r="N197" s="68"/>
      <c r="O197" s="68"/>
      <c r="P197" s="68"/>
      <c r="Q197" s="68"/>
    </row>
    <row r="198" hidden="1">
      <c r="L198" s="67" t="s">
        <v>198</v>
      </c>
      <c r="M198" s="68"/>
      <c r="N198" s="68"/>
      <c r="O198" s="68"/>
      <c r="P198" s="68"/>
      <c r="Q198" s="68"/>
    </row>
    <row r="199" hidden="1">
      <c r="L199" s="67" t="s">
        <v>200</v>
      </c>
      <c r="M199" s="68"/>
      <c r="N199" s="68"/>
      <c r="O199" s="68"/>
      <c r="P199" s="68"/>
      <c r="Q199" s="68"/>
    </row>
    <row r="200" hidden="1">
      <c r="L200" s="67" t="s">
        <v>201</v>
      </c>
      <c r="M200" s="68"/>
      <c r="N200" s="68"/>
      <c r="O200" s="68"/>
      <c r="P200" s="68"/>
      <c r="Q200" s="68"/>
    </row>
    <row r="201" hidden="1">
      <c r="L201" s="67" t="s">
        <v>203</v>
      </c>
      <c r="M201" s="68"/>
      <c r="N201" s="68"/>
      <c r="O201" s="68"/>
      <c r="P201" s="68"/>
      <c r="Q201" s="68"/>
    </row>
    <row r="202" hidden="1">
      <c r="L202" s="67" t="s">
        <v>208</v>
      </c>
      <c r="M202" s="68"/>
      <c r="N202" s="68"/>
      <c r="O202" s="68"/>
      <c r="P202" s="68"/>
      <c r="Q202" s="68"/>
    </row>
    <row r="203" hidden="1">
      <c r="L203" s="67" t="s">
        <v>210</v>
      </c>
      <c r="M203" s="68"/>
      <c r="N203" s="68"/>
      <c r="O203" s="68"/>
      <c r="P203" s="68"/>
      <c r="Q203" s="68"/>
    </row>
    <row r="204" hidden="1">
      <c r="L204" s="67" t="s">
        <v>213</v>
      </c>
      <c r="M204" s="68"/>
      <c r="N204" s="68"/>
      <c r="O204" s="68"/>
      <c r="P204" s="68"/>
      <c r="Q204" s="68"/>
    </row>
    <row r="205" hidden="1">
      <c r="L205" s="67" t="s">
        <v>216</v>
      </c>
      <c r="M205" s="68"/>
      <c r="N205" s="68"/>
      <c r="O205" s="68"/>
      <c r="P205" s="68"/>
      <c r="Q205" s="68"/>
    </row>
    <row r="206" hidden="1">
      <c r="L206" s="67" t="s">
        <v>218</v>
      </c>
      <c r="M206" s="68"/>
      <c r="N206" s="68"/>
      <c r="O206" s="68"/>
      <c r="P206" s="68"/>
      <c r="Q206" s="68"/>
    </row>
    <row r="207" hidden="1">
      <c r="L207" s="67" t="s">
        <v>220</v>
      </c>
      <c r="M207" s="68"/>
      <c r="N207" s="68"/>
      <c r="O207" s="68"/>
      <c r="P207" s="68"/>
      <c r="Q207" s="68"/>
    </row>
    <row r="208" hidden="1">
      <c r="L208" s="67" t="s">
        <v>222</v>
      </c>
      <c r="M208" s="68"/>
      <c r="N208" s="68"/>
      <c r="O208" s="68"/>
      <c r="P208" s="68"/>
      <c r="Q208" s="68"/>
    </row>
    <row r="209" hidden="1">
      <c r="L209" s="67" t="s">
        <v>224</v>
      </c>
      <c r="M209" s="68"/>
      <c r="N209" s="68"/>
      <c r="O209" s="68"/>
      <c r="P209" s="68"/>
      <c r="Q209" s="68"/>
    </row>
    <row r="210" hidden="1">
      <c r="L210" s="67" t="s">
        <v>226</v>
      </c>
      <c r="M210" s="68"/>
      <c r="N210" s="68"/>
      <c r="O210" s="68"/>
      <c r="P210" s="68"/>
      <c r="Q210" s="68"/>
    </row>
    <row r="211" hidden="1">
      <c r="L211" s="67" t="s">
        <v>228</v>
      </c>
      <c r="M211" s="68"/>
      <c r="N211" s="68"/>
      <c r="O211" s="68"/>
      <c r="P211" s="68"/>
      <c r="Q211" s="68"/>
    </row>
    <row r="212" hidden="1">
      <c r="L212" s="67" t="s">
        <v>230</v>
      </c>
      <c r="M212" s="68"/>
      <c r="N212" s="68"/>
      <c r="O212" s="68"/>
      <c r="P212" s="68"/>
      <c r="Q212" s="68"/>
    </row>
    <row r="213" hidden="1">
      <c r="L213" s="67" t="s">
        <v>232</v>
      </c>
      <c r="M213" s="68"/>
      <c r="N213" s="68"/>
      <c r="O213" s="68"/>
      <c r="P213" s="68"/>
      <c r="Q213" s="68"/>
    </row>
    <row r="214" hidden="1">
      <c r="L214" s="67" t="s">
        <v>311</v>
      </c>
      <c r="M214" s="68"/>
      <c r="N214" s="68"/>
      <c r="O214" s="68"/>
      <c r="P214" s="68"/>
      <c r="Q214" s="68"/>
    </row>
    <row r="215" hidden="1">
      <c r="L215" s="67" t="s">
        <v>234</v>
      </c>
      <c r="M215" s="68"/>
      <c r="N215" s="68"/>
      <c r="O215" s="68"/>
      <c r="P215" s="68"/>
      <c r="Q215" s="68"/>
    </row>
    <row r="216">
      <c r="L216" s="69" t="s">
        <v>312</v>
      </c>
      <c r="M216" s="67">
        <v>28.0</v>
      </c>
      <c r="N216" s="67">
        <v>19.0</v>
      </c>
      <c r="O216" s="67">
        <v>2.0</v>
      </c>
      <c r="P216" s="67">
        <v>2.0</v>
      </c>
      <c r="Q216" s="67">
        <v>9.0</v>
      </c>
    </row>
    <row r="217">
      <c r="L217" s="69" t="s">
        <v>313</v>
      </c>
      <c r="M217" s="67">
        <v>5.0</v>
      </c>
      <c r="N217" s="67">
        <v>2.0</v>
      </c>
      <c r="O217" s="67">
        <v>2.0</v>
      </c>
      <c r="P217" s="67">
        <v>0.0</v>
      </c>
      <c r="Q217" s="67">
        <v>0.0</v>
      </c>
    </row>
    <row r="218">
      <c r="L218" s="69" t="s">
        <v>314</v>
      </c>
      <c r="M218" s="67">
        <v>0.0</v>
      </c>
      <c r="N218" s="67">
        <v>1.0</v>
      </c>
      <c r="O218" s="67">
        <v>2.0</v>
      </c>
      <c r="P218" s="67">
        <v>1.0</v>
      </c>
      <c r="Q218" s="67">
        <v>1.0</v>
      </c>
    </row>
    <row r="219">
      <c r="L219" s="69" t="s">
        <v>315</v>
      </c>
      <c r="M219" s="67">
        <v>35.0</v>
      </c>
      <c r="N219" s="67">
        <v>46.0</v>
      </c>
      <c r="O219" s="67">
        <v>62.0</v>
      </c>
      <c r="P219" s="67">
        <v>65.0</v>
      </c>
      <c r="Q219" s="67">
        <v>58.0</v>
      </c>
    </row>
    <row r="220">
      <c r="L220" s="69" t="s">
        <v>316</v>
      </c>
      <c r="M220" s="67">
        <v>28.0</v>
      </c>
      <c r="N220" s="67">
        <v>19.0</v>
      </c>
      <c r="O220" s="67">
        <v>2.0</v>
      </c>
      <c r="P220" s="67">
        <v>2.0</v>
      </c>
      <c r="Q220" s="67">
        <v>9.0</v>
      </c>
    </row>
    <row r="221">
      <c r="L221" s="69" t="s">
        <v>317</v>
      </c>
      <c r="M221" s="69" t="s">
        <v>318</v>
      </c>
      <c r="N221" s="69" t="s">
        <v>318</v>
      </c>
      <c r="O221" s="69" t="s">
        <v>318</v>
      </c>
      <c r="P221" s="69" t="s">
        <v>318</v>
      </c>
      <c r="Q221" s="69" t="s">
        <v>318</v>
      </c>
    </row>
  </sheetData>
  <autoFilter ref="$L$147:$Q$215">
    <filterColumn colId="1">
      <filters>
        <filter val="Yes"/>
      </filters>
    </filterColumn>
  </autoFilter>
  <mergeCells count="5">
    <mergeCell ref="A69:B69"/>
    <mergeCell ref="E90:F90"/>
    <mergeCell ref="E93:F93"/>
    <mergeCell ref="E96:F96"/>
    <mergeCell ref="E99:F99"/>
  </mergeCells>
  <conditionalFormatting sqref="C3:G68">
    <cfRule type="containsText" dxfId="0" priority="1" operator="containsText" text="yes">
      <formula>NOT(ISERROR(SEARCH(("yes"),(C3))))</formula>
    </cfRule>
  </conditionalFormatting>
  <conditionalFormatting sqref="C3:G68">
    <cfRule type="containsText" dxfId="1" priority="2" operator="containsText" text="no">
      <formula>NOT(ISERROR(SEARCH(("no"),(C3))))</formula>
    </cfRule>
  </conditionalFormatting>
  <hyperlinks>
    <hyperlink r:id="rId1" ref="C1"/>
    <hyperlink r:id="rId2" ref="D1"/>
    <hyperlink r:id="rId3" ref="E1"/>
    <hyperlink r:id="rId4" ref="F1"/>
    <hyperlink r:id="rId5" ref="G1"/>
    <hyperlink r:id="rId6" ref="B3"/>
    <hyperlink r:id="rId7" ref="L3"/>
    <hyperlink r:id="rId8" ref="A4"/>
    <hyperlink r:id="rId9" ref="B4"/>
    <hyperlink r:id="rId10" ref="L4"/>
    <hyperlink r:id="rId11" ref="A5"/>
    <hyperlink r:id="rId12" ref="B5"/>
    <hyperlink r:id="rId13" ref="L5"/>
    <hyperlink r:id="rId14" ref="B6"/>
    <hyperlink r:id="rId15" ref="L6"/>
    <hyperlink r:id="rId16" ref="B7"/>
    <hyperlink r:id="rId17" ref="L7"/>
    <hyperlink r:id="rId18" ref="B8"/>
    <hyperlink r:id="rId19" ref="L8"/>
    <hyperlink r:id="rId20" ref="B9"/>
    <hyperlink r:id="rId21" ref="L9"/>
    <hyperlink r:id="rId22" ref="A10"/>
    <hyperlink r:id="rId23" ref="B10"/>
    <hyperlink r:id="rId24" ref="L10"/>
    <hyperlink r:id="rId25" ref="A11"/>
    <hyperlink r:id="rId26" ref="B11"/>
    <hyperlink r:id="rId27" ref="L11"/>
    <hyperlink r:id="rId28" ref="A12"/>
    <hyperlink r:id="rId29" ref="B12"/>
    <hyperlink r:id="rId30" ref="L12"/>
    <hyperlink r:id="rId31" ref="B13"/>
    <hyperlink r:id="rId32" ref="L13"/>
    <hyperlink r:id="rId33" ref="A14"/>
    <hyperlink r:id="rId34" ref="B14"/>
    <hyperlink r:id="rId35" ref="L14"/>
    <hyperlink r:id="rId36" ref="A15"/>
    <hyperlink r:id="rId37" ref="B15"/>
    <hyperlink r:id="rId38" ref="L15"/>
    <hyperlink r:id="rId39" ref="A16"/>
    <hyperlink r:id="rId40" ref="B16"/>
    <hyperlink r:id="rId41" ref="L16"/>
    <hyperlink r:id="rId42" ref="A17"/>
    <hyperlink r:id="rId43" ref="B17"/>
    <hyperlink r:id="rId44" ref="L17"/>
    <hyperlink r:id="rId45" ref="B18"/>
    <hyperlink r:id="rId46" ref="L18"/>
    <hyperlink r:id="rId47" ref="A19"/>
    <hyperlink r:id="rId48" ref="B19"/>
    <hyperlink r:id="rId49" ref="L19"/>
    <hyperlink r:id="rId50" ref="A20"/>
    <hyperlink r:id="rId51" ref="B20"/>
    <hyperlink r:id="rId52" ref="L20"/>
    <hyperlink r:id="rId53" ref="B21"/>
    <hyperlink r:id="rId54" ref="L21"/>
    <hyperlink r:id="rId55" ref="A22"/>
    <hyperlink r:id="rId56" ref="B22"/>
    <hyperlink r:id="rId57" ref="L22"/>
    <hyperlink r:id="rId58" ref="B23"/>
    <hyperlink r:id="rId59" ref="L23"/>
    <hyperlink r:id="rId60" ref="B24"/>
    <hyperlink r:id="rId61" ref="L24"/>
    <hyperlink r:id="rId62" ref="A25"/>
    <hyperlink r:id="rId63" ref="B25"/>
    <hyperlink r:id="rId64" ref="L25"/>
    <hyperlink r:id="rId65" ref="B26"/>
    <hyperlink r:id="rId66" ref="L26"/>
    <hyperlink r:id="rId67" ref="A27"/>
    <hyperlink r:id="rId68" ref="B27"/>
    <hyperlink r:id="rId69" ref="L27"/>
    <hyperlink r:id="rId70" ref="A28"/>
    <hyperlink r:id="rId71" ref="B28"/>
    <hyperlink r:id="rId72" ref="L28"/>
    <hyperlink r:id="rId73" ref="B29"/>
    <hyperlink r:id="rId74" ref="L29"/>
    <hyperlink r:id="rId75" ref="B30"/>
    <hyperlink r:id="rId76" ref="L30"/>
    <hyperlink r:id="rId77" ref="A31"/>
    <hyperlink r:id="rId78" ref="B31"/>
    <hyperlink r:id="rId79" ref="L31"/>
    <hyperlink r:id="rId80" ref="A32"/>
    <hyperlink r:id="rId81" ref="B32"/>
    <hyperlink r:id="rId82" ref="L32"/>
    <hyperlink r:id="rId83" ref="A33"/>
    <hyperlink r:id="rId84" ref="B33"/>
    <hyperlink r:id="rId85" ref="L33"/>
    <hyperlink r:id="rId86" ref="B34"/>
    <hyperlink r:id="rId87" ref="L34"/>
    <hyperlink r:id="rId88" ref="B35"/>
    <hyperlink r:id="rId89" ref="L35"/>
    <hyperlink r:id="rId90" ref="B36"/>
    <hyperlink r:id="rId91" ref="L36"/>
    <hyperlink r:id="rId92" ref="B37"/>
    <hyperlink r:id="rId93" ref="L37"/>
    <hyperlink r:id="rId94" ref="B38"/>
    <hyperlink r:id="rId95" ref="L38"/>
    <hyperlink r:id="rId96" ref="A39"/>
    <hyperlink r:id="rId97" ref="B39"/>
    <hyperlink r:id="rId98" ref="L39"/>
    <hyperlink r:id="rId99" ref="A40"/>
    <hyperlink r:id="rId100" ref="B40"/>
    <hyperlink r:id="rId101" ref="L40"/>
    <hyperlink r:id="rId102" ref="B41"/>
    <hyperlink r:id="rId103" ref="L41"/>
    <hyperlink r:id="rId104" ref="A42"/>
    <hyperlink r:id="rId105" ref="B42"/>
    <hyperlink r:id="rId106" ref="L42"/>
    <hyperlink r:id="rId107" ref="B43"/>
    <hyperlink r:id="rId108" ref="L43"/>
    <hyperlink r:id="rId109" ref="B44"/>
    <hyperlink r:id="rId110" ref="L44"/>
    <hyperlink r:id="rId111" ref="B45"/>
    <hyperlink r:id="rId112" ref="L45"/>
    <hyperlink r:id="rId113" ref="A46"/>
    <hyperlink r:id="rId114" ref="B46"/>
    <hyperlink r:id="rId115" ref="L46"/>
    <hyperlink r:id="rId116" ref="A47"/>
    <hyperlink r:id="rId117" ref="B47"/>
    <hyperlink r:id="rId118" ref="L47"/>
    <hyperlink r:id="rId119" ref="A48"/>
    <hyperlink r:id="rId120" ref="B48"/>
    <hyperlink r:id="rId121" ref="L48"/>
    <hyperlink r:id="rId122" ref="A49"/>
    <hyperlink r:id="rId123" ref="B49"/>
    <hyperlink r:id="rId124" ref="L49"/>
    <hyperlink r:id="rId125" ref="A50"/>
    <hyperlink r:id="rId126" ref="B50"/>
    <hyperlink r:id="rId127" ref="L50"/>
    <hyperlink r:id="rId128" ref="A52"/>
    <hyperlink r:id="rId129" ref="B52"/>
    <hyperlink r:id="rId130" ref="L52"/>
    <hyperlink r:id="rId131" ref="B53"/>
    <hyperlink r:id="rId132" ref="L53"/>
    <hyperlink r:id="rId133" ref="A54"/>
    <hyperlink r:id="rId134" ref="B54"/>
    <hyperlink r:id="rId135" ref="L54"/>
    <hyperlink r:id="rId136" ref="A55"/>
    <hyperlink r:id="rId137" ref="B55"/>
    <hyperlink r:id="rId138" ref="L55"/>
    <hyperlink r:id="rId139" ref="A56"/>
    <hyperlink r:id="rId140" ref="B56"/>
    <hyperlink r:id="rId141" ref="L56"/>
    <hyperlink r:id="rId142" ref="B57"/>
    <hyperlink r:id="rId143" ref="L57"/>
    <hyperlink r:id="rId144" ref="B58"/>
    <hyperlink r:id="rId145" ref="L58"/>
    <hyperlink r:id="rId146" ref="A59"/>
    <hyperlink r:id="rId147" ref="B59"/>
    <hyperlink r:id="rId148" ref="L59"/>
    <hyperlink r:id="rId149" ref="B60"/>
    <hyperlink r:id="rId150" ref="L60"/>
    <hyperlink r:id="rId151" ref="B61"/>
    <hyperlink r:id="rId152" ref="L61"/>
    <hyperlink r:id="rId153" ref="B62"/>
    <hyperlink r:id="rId154" ref="L62"/>
    <hyperlink r:id="rId155" ref="A63"/>
    <hyperlink r:id="rId156" ref="B63"/>
    <hyperlink r:id="rId157" ref="L63"/>
    <hyperlink r:id="rId158" ref="A64"/>
    <hyperlink r:id="rId159" ref="B64"/>
    <hyperlink r:id="rId160" ref="L64"/>
    <hyperlink r:id="rId161" ref="A65"/>
    <hyperlink r:id="rId162" ref="B65"/>
    <hyperlink r:id="rId163" ref="L65"/>
    <hyperlink r:id="rId164" ref="A66"/>
    <hyperlink r:id="rId165" ref="B66"/>
    <hyperlink r:id="rId166" ref="L66"/>
    <hyperlink r:id="rId167" ref="B67"/>
    <hyperlink r:id="rId168" ref="L68"/>
    <hyperlink r:id="rId169" ref="B107"/>
    <hyperlink r:id="rId170" ref="C107"/>
    <hyperlink r:id="rId171" ref="B108"/>
    <hyperlink r:id="rId172" ref="C108"/>
    <hyperlink r:id="rId173" ref="C109"/>
    <hyperlink r:id="rId174" ref="B110"/>
    <hyperlink r:id="rId175" ref="C110"/>
    <hyperlink r:id="rId176" ref="B111"/>
    <hyperlink r:id="rId177" ref="C111"/>
  </hyperlinks>
  <printOptions/>
  <pageMargins bottom="0.75" footer="0.0" header="0.0" left="0.7" right="0.7" top="0.75"/>
  <pageSetup orientation="landscape"/>
  <drawing r:id="rId17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71"/>
    <col customWidth="1" min="2" max="2" width="16.71"/>
    <col customWidth="1" min="3" max="3" width="17.43"/>
    <col customWidth="1" min="4" max="4" width="35.57"/>
    <col customWidth="1" min="5" max="5" width="15.71"/>
    <col customWidth="1" min="6" max="6" width="5.43"/>
    <col customWidth="1" min="7" max="9" width="8.71"/>
    <col customWidth="1" hidden="1" min="10" max="10" width="8.71"/>
  </cols>
  <sheetData>
    <row r="1" ht="18.0" customHeight="1">
      <c r="A1" s="3"/>
      <c r="B1" s="70"/>
      <c r="C1" s="70"/>
      <c r="D1" s="70"/>
      <c r="E1" s="70"/>
      <c r="F1" s="3"/>
      <c r="G1" s="3"/>
      <c r="H1" s="3"/>
      <c r="I1" s="3"/>
      <c r="J1" s="3">
        <f>+SUM(F3:F28)</f>
        <v>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3"/>
      <c r="B2" s="71" t="s">
        <v>319</v>
      </c>
      <c r="C2" s="71" t="s">
        <v>320</v>
      </c>
      <c r="D2" s="71" t="s">
        <v>321</v>
      </c>
      <c r="E2" s="72" t="s">
        <v>322</v>
      </c>
      <c r="F2" s="3"/>
      <c r="G2" s="3"/>
      <c r="H2" s="3"/>
      <c r="I2" s="3"/>
      <c r="J2" s="73" t="s">
        <v>323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3"/>
      <c r="B3" s="74" t="s">
        <v>7</v>
      </c>
      <c r="C3" s="75" t="s">
        <v>324</v>
      </c>
      <c r="D3" s="76" t="s">
        <v>325</v>
      </c>
      <c r="E3" s="77" t="s">
        <v>326</v>
      </c>
      <c r="F3" s="3"/>
      <c r="G3" s="3"/>
      <c r="H3" s="3"/>
      <c r="I3" s="3"/>
      <c r="J3" s="3">
        <v>2.0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0" customHeight="1">
      <c r="A4" s="3"/>
      <c r="B4" s="74" t="s">
        <v>327</v>
      </c>
      <c r="C4" s="75" t="s">
        <v>328</v>
      </c>
      <c r="D4" s="76" t="s">
        <v>329</v>
      </c>
      <c r="E4" s="78"/>
      <c r="F4" s="3"/>
      <c r="G4" s="3"/>
      <c r="H4" s="3"/>
      <c r="I4" s="3"/>
      <c r="J4" s="3">
        <v>5.0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3"/>
      <c r="B5" s="75">
        <v>1.0</v>
      </c>
      <c r="C5" s="75" t="s">
        <v>330</v>
      </c>
      <c r="D5" s="76" t="s">
        <v>331</v>
      </c>
      <c r="E5" s="77" t="s">
        <v>332</v>
      </c>
      <c r="F5" s="3"/>
      <c r="G5" s="3"/>
      <c r="H5" s="3"/>
      <c r="I5" s="3"/>
      <c r="J5" s="3">
        <v>4.0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3"/>
      <c r="B6" s="75">
        <v>2.0</v>
      </c>
      <c r="C6" s="75" t="s">
        <v>324</v>
      </c>
      <c r="D6" s="76" t="s">
        <v>333</v>
      </c>
      <c r="E6" s="79"/>
      <c r="F6" s="3"/>
      <c r="G6" s="3"/>
      <c r="H6" s="3"/>
      <c r="I6" s="3"/>
      <c r="J6" s="3">
        <v>2.0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3"/>
      <c r="B7" s="75">
        <v>3.0</v>
      </c>
      <c r="C7" s="75" t="s">
        <v>330</v>
      </c>
      <c r="D7" s="76" t="s">
        <v>331</v>
      </c>
      <c r="E7" s="79"/>
      <c r="F7" s="3"/>
      <c r="G7" s="3"/>
      <c r="H7" s="3"/>
      <c r="I7" s="3"/>
      <c r="J7" s="3">
        <v>4.0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"/>
      <c r="B8" s="75">
        <v>4.0</v>
      </c>
      <c r="C8" s="75" t="s">
        <v>324</v>
      </c>
      <c r="D8" s="76" t="s">
        <v>334</v>
      </c>
      <c r="E8" s="79"/>
      <c r="F8" s="3"/>
      <c r="G8" s="3"/>
      <c r="H8" s="3"/>
      <c r="I8" s="3"/>
      <c r="J8" s="3">
        <v>2.0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3"/>
      <c r="B9" s="75">
        <v>5.0</v>
      </c>
      <c r="C9" s="75" t="s">
        <v>335</v>
      </c>
      <c r="D9" s="76" t="s">
        <v>331</v>
      </c>
      <c r="E9" s="79"/>
      <c r="F9" s="3"/>
      <c r="G9" s="3"/>
      <c r="H9" s="3"/>
      <c r="I9" s="3"/>
      <c r="J9" s="3">
        <v>3.0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3"/>
      <c r="B10" s="75">
        <v>6.0</v>
      </c>
      <c r="C10" s="75" t="s">
        <v>336</v>
      </c>
      <c r="D10" s="76" t="s">
        <v>337</v>
      </c>
      <c r="E10" s="79"/>
      <c r="F10" s="3"/>
      <c r="G10" s="3"/>
      <c r="H10" s="3"/>
      <c r="I10" s="3"/>
      <c r="J10" s="3">
        <v>1.5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3"/>
      <c r="B11" s="75">
        <v>7.0</v>
      </c>
      <c r="C11" s="75" t="s">
        <v>335</v>
      </c>
      <c r="D11" s="76" t="s">
        <v>331</v>
      </c>
      <c r="E11" s="78"/>
      <c r="F11" s="3"/>
      <c r="G11" s="3"/>
      <c r="H11" s="3"/>
      <c r="I11" s="3"/>
      <c r="J11" s="3">
        <v>3.0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"/>
      <c r="B12" s="75">
        <v>8.0</v>
      </c>
      <c r="C12" s="75" t="s">
        <v>336</v>
      </c>
      <c r="D12" s="76" t="s">
        <v>338</v>
      </c>
      <c r="E12" s="80" t="s">
        <v>339</v>
      </c>
      <c r="F12" s="3"/>
      <c r="G12" s="3"/>
      <c r="H12" s="3"/>
      <c r="I12" s="3"/>
      <c r="J12" s="3">
        <v>1.5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3"/>
      <c r="B13" s="75">
        <v>9.0</v>
      </c>
      <c r="C13" s="75" t="s">
        <v>324</v>
      </c>
      <c r="D13" s="76" t="s">
        <v>340</v>
      </c>
      <c r="E13" s="79"/>
      <c r="F13" s="3"/>
      <c r="G13" s="3"/>
      <c r="H13" s="3"/>
      <c r="I13" s="3"/>
      <c r="J13" s="3">
        <v>2.0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3"/>
      <c r="B14" s="75">
        <v>10.0</v>
      </c>
      <c r="C14" s="75" t="s">
        <v>341</v>
      </c>
      <c r="D14" s="76" t="s">
        <v>342</v>
      </c>
      <c r="E14" s="79"/>
      <c r="F14" s="3"/>
      <c r="G14" s="3"/>
      <c r="H14" s="3"/>
      <c r="I14" s="3"/>
      <c r="J14" s="3">
        <v>1.0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3"/>
      <c r="B15" s="75">
        <v>11.0</v>
      </c>
      <c r="C15" s="75" t="s">
        <v>324</v>
      </c>
      <c r="D15" s="76" t="s">
        <v>340</v>
      </c>
      <c r="E15" s="78"/>
      <c r="F15" s="3"/>
      <c r="G15" s="3"/>
      <c r="H15" s="3"/>
      <c r="I15" s="3"/>
      <c r="J15" s="3">
        <v>2.0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3"/>
      <c r="B16" s="75">
        <v>12.0</v>
      </c>
      <c r="C16" s="75" t="s">
        <v>341</v>
      </c>
      <c r="D16" s="76" t="s">
        <v>343</v>
      </c>
      <c r="E16" s="80" t="s">
        <v>344</v>
      </c>
      <c r="F16" s="3"/>
      <c r="G16" s="3"/>
      <c r="H16" s="3"/>
      <c r="I16" s="3"/>
      <c r="J16" s="3">
        <v>1.0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3"/>
      <c r="B17" s="75">
        <v>13.0</v>
      </c>
      <c r="C17" s="75" t="s">
        <v>341</v>
      </c>
      <c r="D17" s="76" t="s">
        <v>345</v>
      </c>
      <c r="E17" s="79"/>
      <c r="F17" s="3"/>
      <c r="G17" s="3"/>
      <c r="H17" s="3"/>
      <c r="I17" s="3"/>
      <c r="J17" s="3">
        <v>1.0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3"/>
      <c r="B18" s="75">
        <v>14.0</v>
      </c>
      <c r="C18" s="75" t="s">
        <v>335</v>
      </c>
      <c r="D18" s="81" t="s">
        <v>346</v>
      </c>
      <c r="E18" s="79"/>
      <c r="F18" s="3"/>
      <c r="G18" s="3"/>
      <c r="H18" s="3"/>
      <c r="I18" s="3"/>
      <c r="J18" s="3">
        <v>3.0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3"/>
      <c r="B19" s="75">
        <v>15.0</v>
      </c>
      <c r="C19" s="75" t="s">
        <v>341</v>
      </c>
      <c r="D19" s="76" t="s">
        <v>345</v>
      </c>
      <c r="E19" s="78"/>
      <c r="F19" s="3"/>
      <c r="G19" s="3"/>
      <c r="H19" s="3"/>
      <c r="I19" s="3"/>
      <c r="J19" s="3">
        <v>1.0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3"/>
      <c r="B20" s="75">
        <v>16.0</v>
      </c>
      <c r="C20" s="75" t="s">
        <v>335</v>
      </c>
      <c r="D20" s="76" t="s">
        <v>347</v>
      </c>
      <c r="E20" s="80" t="s">
        <v>339</v>
      </c>
      <c r="F20" s="3"/>
      <c r="G20" s="3"/>
      <c r="H20" s="3"/>
      <c r="I20" s="3"/>
      <c r="J20" s="3">
        <v>3.0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3"/>
      <c r="B21" s="75">
        <v>17.0</v>
      </c>
      <c r="C21" s="75" t="s">
        <v>324</v>
      </c>
      <c r="D21" s="76" t="s">
        <v>340</v>
      </c>
      <c r="E21" s="79"/>
      <c r="F21" s="3"/>
      <c r="G21" s="3"/>
      <c r="H21" s="3"/>
      <c r="I21" s="3"/>
      <c r="J21" s="3">
        <v>2.0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3"/>
      <c r="B22" s="75">
        <v>18.0</v>
      </c>
      <c r="C22" s="75" t="s">
        <v>341</v>
      </c>
      <c r="D22" s="76" t="s">
        <v>348</v>
      </c>
      <c r="E22" s="79"/>
      <c r="F22" s="3"/>
      <c r="G22" s="3"/>
      <c r="H22" s="3"/>
      <c r="I22" s="3"/>
      <c r="J22" s="3">
        <v>1.0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3"/>
      <c r="B23" s="75">
        <v>19.0</v>
      </c>
      <c r="C23" s="75" t="s">
        <v>324</v>
      </c>
      <c r="D23" s="76" t="s">
        <v>340</v>
      </c>
      <c r="E23" s="78"/>
      <c r="F23" s="3"/>
      <c r="G23" s="3"/>
      <c r="H23" s="3"/>
      <c r="I23" s="3"/>
      <c r="J23" s="3">
        <v>2.0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3"/>
      <c r="B24" s="75">
        <v>20.0</v>
      </c>
      <c r="C24" s="75" t="s">
        <v>341</v>
      </c>
      <c r="D24" s="76" t="s">
        <v>338</v>
      </c>
      <c r="E24" s="82" t="s">
        <v>332</v>
      </c>
      <c r="F24" s="3"/>
      <c r="G24" s="3"/>
      <c r="H24" s="3"/>
      <c r="I24" s="3"/>
      <c r="J24" s="3">
        <v>1.0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3"/>
      <c r="B25" s="75">
        <v>21.0</v>
      </c>
      <c r="C25" s="75" t="s">
        <v>330</v>
      </c>
      <c r="D25" s="76" t="s">
        <v>331</v>
      </c>
      <c r="E25" s="79"/>
      <c r="F25" s="3"/>
      <c r="G25" s="3"/>
      <c r="H25" s="3"/>
      <c r="I25" s="3"/>
      <c r="J25" s="3">
        <v>4.0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"/>
      <c r="B26" s="75">
        <v>22.0</v>
      </c>
      <c r="C26" s="75" t="s">
        <v>349</v>
      </c>
      <c r="D26" s="76" t="s">
        <v>350</v>
      </c>
      <c r="E26" s="78"/>
      <c r="F26" s="3"/>
      <c r="G26" s="3"/>
      <c r="H26" s="3"/>
      <c r="I26" s="3"/>
      <c r="J26" s="83">
        <v>1.0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"/>
      <c r="B27" s="75">
        <v>22.2</v>
      </c>
      <c r="C27" s="75" t="s">
        <v>349</v>
      </c>
      <c r="D27" s="76" t="s">
        <v>351</v>
      </c>
      <c r="E27" s="84">
        <v>14.0</v>
      </c>
      <c r="F27" s="3"/>
      <c r="G27" s="3"/>
      <c r="H27" s="3"/>
      <c r="I27" s="3"/>
      <c r="J27" s="85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"/>
      <c r="B28" s="70"/>
      <c r="C28" s="70"/>
      <c r="D28" s="70"/>
      <c r="E28" s="70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"/>
      <c r="B29" s="70"/>
      <c r="C29" s="70"/>
      <c r="D29" s="70"/>
      <c r="E29" s="70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"/>
      <c r="B30" s="70"/>
      <c r="C30" s="70"/>
      <c r="D30" s="70"/>
      <c r="E30" s="70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70"/>
      <c r="C31" s="70"/>
      <c r="D31" s="70"/>
      <c r="E31" s="70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"/>
      <c r="B32" s="70"/>
      <c r="C32" s="70"/>
      <c r="D32" s="3" t="s">
        <v>352</v>
      </c>
      <c r="E32" s="70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"/>
      <c r="B33" s="70"/>
      <c r="C33" s="70"/>
      <c r="D33" s="70"/>
      <c r="E33" s="70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70"/>
      <c r="C34" s="70"/>
      <c r="D34" s="70"/>
      <c r="E34" s="70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"/>
      <c r="B35" s="70"/>
      <c r="C35" s="70"/>
      <c r="D35" s="70"/>
      <c r="E35" s="70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"/>
      <c r="B36" s="70"/>
      <c r="C36" s="70"/>
      <c r="D36" s="70"/>
      <c r="E36" s="70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"/>
      <c r="B37" s="70"/>
      <c r="C37" s="70"/>
      <c r="D37" s="70"/>
      <c r="E37" s="70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"/>
      <c r="B38" s="70"/>
      <c r="C38" s="70"/>
      <c r="D38" s="70"/>
      <c r="E38" s="70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3"/>
      <c r="B39" s="70"/>
      <c r="C39" s="70"/>
      <c r="D39" s="70"/>
      <c r="E39" s="70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3"/>
      <c r="B40" s="70"/>
      <c r="C40" s="70"/>
      <c r="D40" s="70"/>
      <c r="E40" s="70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3"/>
      <c r="B41" s="70"/>
      <c r="C41" s="70"/>
      <c r="D41" s="70"/>
      <c r="E41" s="70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3"/>
      <c r="B42" s="70"/>
      <c r="C42" s="70"/>
      <c r="D42" s="70"/>
      <c r="E42" s="7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3"/>
      <c r="B43" s="70"/>
      <c r="C43" s="70"/>
      <c r="D43" s="70"/>
      <c r="E43" s="7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3"/>
      <c r="B44" s="70"/>
      <c r="C44" s="70"/>
      <c r="D44" s="70"/>
      <c r="E44" s="70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3"/>
      <c r="B45" s="70"/>
      <c r="C45" s="70"/>
      <c r="D45" s="70"/>
      <c r="E45" s="70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70"/>
      <c r="C46" s="70"/>
      <c r="D46" s="70"/>
      <c r="E46" s="70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3"/>
      <c r="B47" s="70"/>
      <c r="C47" s="70"/>
      <c r="D47" s="70"/>
      <c r="E47" s="70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3"/>
      <c r="B48" s="70"/>
      <c r="C48" s="70"/>
      <c r="D48" s="70"/>
      <c r="E48" s="70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70"/>
      <c r="C49" s="70"/>
      <c r="D49" s="70"/>
      <c r="E49" s="70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70"/>
      <c r="C50" s="70"/>
      <c r="D50" s="70"/>
      <c r="E50" s="70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70"/>
      <c r="C51" s="70"/>
      <c r="D51" s="70"/>
      <c r="E51" s="70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3"/>
      <c r="B52" s="70"/>
      <c r="C52" s="70"/>
      <c r="D52" s="70"/>
      <c r="E52" s="70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3"/>
      <c r="B53" s="70"/>
      <c r="C53" s="70"/>
      <c r="D53" s="70"/>
      <c r="E53" s="70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70"/>
      <c r="C54" s="70"/>
      <c r="D54" s="70"/>
      <c r="E54" s="70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3"/>
      <c r="B55" s="70"/>
      <c r="C55" s="70"/>
      <c r="D55" s="70"/>
      <c r="E55" s="70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3"/>
      <c r="B56" s="70"/>
      <c r="C56" s="70"/>
      <c r="D56" s="70"/>
      <c r="E56" s="70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3"/>
      <c r="B57" s="70"/>
      <c r="C57" s="70"/>
      <c r="D57" s="70"/>
      <c r="E57" s="70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3"/>
      <c r="B58" s="70"/>
      <c r="C58" s="70"/>
      <c r="D58" s="70"/>
      <c r="E58" s="70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70"/>
      <c r="C59" s="70"/>
      <c r="D59" s="70"/>
      <c r="E59" s="70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3"/>
      <c r="B60" s="70"/>
      <c r="C60" s="70"/>
      <c r="D60" s="70"/>
      <c r="E60" s="70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3"/>
      <c r="B61" s="70"/>
      <c r="C61" s="70"/>
      <c r="D61" s="70"/>
      <c r="E61" s="7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3"/>
      <c r="B62" s="70"/>
      <c r="C62" s="70"/>
      <c r="D62" s="70"/>
      <c r="E62" s="7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3"/>
      <c r="B63" s="70"/>
      <c r="C63" s="70"/>
      <c r="D63" s="70"/>
      <c r="E63" s="7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3"/>
      <c r="B64" s="70"/>
      <c r="C64" s="70"/>
      <c r="D64" s="70"/>
      <c r="E64" s="7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3"/>
      <c r="B65" s="70"/>
      <c r="C65" s="70"/>
      <c r="D65" s="70"/>
      <c r="E65" s="7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3"/>
      <c r="B66" s="70"/>
      <c r="C66" s="70"/>
      <c r="D66" s="70"/>
      <c r="E66" s="7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3"/>
      <c r="B67" s="70"/>
      <c r="C67" s="70"/>
      <c r="D67" s="70"/>
      <c r="E67" s="7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3"/>
      <c r="B68" s="70"/>
      <c r="C68" s="70"/>
      <c r="D68" s="70"/>
      <c r="E68" s="7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3"/>
      <c r="B69" s="70"/>
      <c r="C69" s="70"/>
      <c r="D69" s="70"/>
      <c r="E69" s="7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3"/>
      <c r="B70" s="70"/>
      <c r="C70" s="70"/>
      <c r="D70" s="70"/>
      <c r="E70" s="7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3"/>
      <c r="B71" s="70"/>
      <c r="C71" s="70"/>
      <c r="D71" s="70"/>
      <c r="E71" s="7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3"/>
      <c r="B72" s="70"/>
      <c r="C72" s="70"/>
      <c r="D72" s="70"/>
      <c r="E72" s="7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3"/>
      <c r="B73" s="70"/>
      <c r="C73" s="70"/>
      <c r="D73" s="70"/>
      <c r="E73" s="7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3"/>
      <c r="B74" s="70"/>
      <c r="C74" s="70"/>
      <c r="D74" s="70"/>
      <c r="E74" s="70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3"/>
      <c r="B75" s="70"/>
      <c r="C75" s="70"/>
      <c r="D75" s="70"/>
      <c r="E75" s="70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70"/>
      <c r="C76" s="70"/>
      <c r="D76" s="70"/>
      <c r="E76" s="7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70"/>
      <c r="C77" s="70"/>
      <c r="D77" s="70"/>
      <c r="E77" s="70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70"/>
      <c r="C78" s="70"/>
      <c r="D78" s="70"/>
      <c r="E78" s="7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70"/>
      <c r="C79" s="70"/>
      <c r="D79" s="70"/>
      <c r="E79" s="70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70"/>
      <c r="C80" s="70"/>
      <c r="D80" s="70"/>
      <c r="E80" s="70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70"/>
      <c r="C81" s="70"/>
      <c r="D81" s="70"/>
      <c r="E81" s="70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70"/>
      <c r="C82" s="70"/>
      <c r="D82" s="70"/>
      <c r="E82" s="70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70"/>
      <c r="C83" s="70"/>
      <c r="D83" s="70"/>
      <c r="E83" s="70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70"/>
      <c r="C84" s="70"/>
      <c r="D84" s="70"/>
      <c r="E84" s="70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70"/>
      <c r="C85" s="70"/>
      <c r="D85" s="70"/>
      <c r="E85" s="70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70"/>
      <c r="C86" s="70"/>
      <c r="D86" s="70"/>
      <c r="E86" s="70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70"/>
      <c r="C87" s="70"/>
      <c r="D87" s="70"/>
      <c r="E87" s="70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70"/>
      <c r="C88" s="70"/>
      <c r="D88" s="70"/>
      <c r="E88" s="70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70"/>
      <c r="C89" s="70"/>
      <c r="D89" s="70"/>
      <c r="E89" s="70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70"/>
      <c r="C90" s="70"/>
      <c r="D90" s="70"/>
      <c r="E90" s="70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70"/>
      <c r="C91" s="70"/>
      <c r="D91" s="70"/>
      <c r="E91" s="70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70"/>
      <c r="C92" s="70"/>
      <c r="D92" s="70"/>
      <c r="E92" s="70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70"/>
      <c r="C93" s="70"/>
      <c r="D93" s="70"/>
      <c r="E93" s="70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70"/>
      <c r="C94" s="70"/>
      <c r="D94" s="70"/>
      <c r="E94" s="7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70"/>
      <c r="C95" s="70"/>
      <c r="D95" s="70"/>
      <c r="E95" s="7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70"/>
      <c r="C96" s="70"/>
      <c r="D96" s="70"/>
      <c r="E96" s="7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70"/>
      <c r="C97" s="70"/>
      <c r="D97" s="70"/>
      <c r="E97" s="7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70"/>
      <c r="C98" s="70"/>
      <c r="D98" s="70"/>
      <c r="E98" s="70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70"/>
      <c r="C99" s="70"/>
      <c r="D99" s="70"/>
      <c r="E99" s="7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70"/>
      <c r="C100" s="70"/>
      <c r="D100" s="70"/>
      <c r="E100" s="7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70"/>
      <c r="C101" s="70"/>
      <c r="D101" s="70"/>
      <c r="E101" s="7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70"/>
      <c r="C102" s="70"/>
      <c r="D102" s="70"/>
      <c r="E102" s="7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70"/>
      <c r="C103" s="70"/>
      <c r="D103" s="70"/>
      <c r="E103" s="70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70"/>
      <c r="C104" s="70"/>
      <c r="D104" s="70"/>
      <c r="E104" s="7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70"/>
      <c r="C105" s="70"/>
      <c r="D105" s="70"/>
      <c r="E105" s="7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70"/>
      <c r="C106" s="70"/>
      <c r="D106" s="70"/>
      <c r="E106" s="7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70"/>
      <c r="C107" s="70"/>
      <c r="D107" s="70"/>
      <c r="E107" s="7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70"/>
      <c r="C108" s="70"/>
      <c r="D108" s="70"/>
      <c r="E108" s="7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70"/>
      <c r="C109" s="70"/>
      <c r="D109" s="70"/>
      <c r="E109" s="7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70"/>
      <c r="C110" s="70"/>
      <c r="D110" s="70"/>
      <c r="E110" s="7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70"/>
      <c r="C111" s="70"/>
      <c r="D111" s="70"/>
      <c r="E111" s="7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70"/>
      <c r="C112" s="70"/>
      <c r="D112" s="70"/>
      <c r="E112" s="7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70"/>
      <c r="C113" s="70"/>
      <c r="D113" s="70"/>
      <c r="E113" s="7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70"/>
      <c r="C114" s="70"/>
      <c r="D114" s="70"/>
      <c r="E114" s="7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70"/>
      <c r="C115" s="70"/>
      <c r="D115" s="70"/>
      <c r="E115" s="7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70"/>
      <c r="C116" s="70"/>
      <c r="D116" s="70"/>
      <c r="E116" s="7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70"/>
      <c r="C117" s="70"/>
      <c r="D117" s="70"/>
      <c r="E117" s="7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70"/>
      <c r="C118" s="70"/>
      <c r="D118" s="70"/>
      <c r="E118" s="7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70"/>
      <c r="C119" s="70"/>
      <c r="D119" s="70"/>
      <c r="E119" s="7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70"/>
      <c r="C120" s="70"/>
      <c r="D120" s="70"/>
      <c r="E120" s="7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70"/>
      <c r="C121" s="70"/>
      <c r="D121" s="70"/>
      <c r="E121" s="7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70"/>
      <c r="C122" s="70"/>
      <c r="D122" s="70"/>
      <c r="E122" s="7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70"/>
      <c r="C123" s="70"/>
      <c r="D123" s="70"/>
      <c r="E123" s="7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70"/>
      <c r="C124" s="70"/>
      <c r="D124" s="70"/>
      <c r="E124" s="7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70"/>
      <c r="C125" s="70"/>
      <c r="D125" s="70"/>
      <c r="E125" s="7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70"/>
      <c r="C126" s="70"/>
      <c r="D126" s="70"/>
      <c r="E126" s="7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70"/>
      <c r="C127" s="70"/>
      <c r="D127" s="70"/>
      <c r="E127" s="7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70"/>
      <c r="C128" s="70"/>
      <c r="D128" s="70"/>
      <c r="E128" s="7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70"/>
      <c r="C129" s="70"/>
      <c r="D129" s="70"/>
      <c r="E129" s="7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70"/>
      <c r="C130" s="70"/>
      <c r="D130" s="70"/>
      <c r="E130" s="7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70"/>
      <c r="C131" s="70"/>
      <c r="D131" s="70"/>
      <c r="E131" s="7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70"/>
      <c r="C132" s="70"/>
      <c r="D132" s="70"/>
      <c r="E132" s="7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70"/>
      <c r="C133" s="70"/>
      <c r="D133" s="70"/>
      <c r="E133" s="7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70"/>
      <c r="C134" s="70"/>
      <c r="D134" s="70"/>
      <c r="E134" s="7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70"/>
      <c r="C135" s="70"/>
      <c r="D135" s="70"/>
      <c r="E135" s="7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70"/>
      <c r="C136" s="70"/>
      <c r="D136" s="70"/>
      <c r="E136" s="70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70"/>
      <c r="C137" s="70"/>
      <c r="D137" s="70"/>
      <c r="E137" s="70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70"/>
      <c r="C138" s="70"/>
      <c r="D138" s="70"/>
      <c r="E138" s="7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70"/>
      <c r="C139" s="70"/>
      <c r="D139" s="70"/>
      <c r="E139" s="7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70"/>
      <c r="C140" s="70"/>
      <c r="D140" s="70"/>
      <c r="E140" s="7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70"/>
      <c r="C141" s="70"/>
      <c r="D141" s="70"/>
      <c r="E141" s="7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70"/>
      <c r="C142" s="70"/>
      <c r="D142" s="70"/>
      <c r="E142" s="7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70"/>
      <c r="C143" s="70"/>
      <c r="D143" s="70"/>
      <c r="E143" s="7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70"/>
      <c r="C144" s="70"/>
      <c r="D144" s="70"/>
      <c r="E144" s="7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70"/>
      <c r="C145" s="70"/>
      <c r="D145" s="70"/>
      <c r="E145" s="7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70"/>
      <c r="C146" s="70"/>
      <c r="D146" s="70"/>
      <c r="E146" s="7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70"/>
      <c r="C147" s="70"/>
      <c r="D147" s="70"/>
      <c r="E147" s="7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70"/>
      <c r="C148" s="70"/>
      <c r="D148" s="70"/>
      <c r="E148" s="7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70"/>
      <c r="C149" s="70"/>
      <c r="D149" s="70"/>
      <c r="E149" s="7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70"/>
      <c r="C150" s="70"/>
      <c r="D150" s="70"/>
      <c r="E150" s="7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70"/>
      <c r="C151" s="70"/>
      <c r="D151" s="70"/>
      <c r="E151" s="7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70"/>
      <c r="C152" s="70"/>
      <c r="D152" s="70"/>
      <c r="E152" s="7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70"/>
      <c r="C153" s="70"/>
      <c r="D153" s="70"/>
      <c r="E153" s="7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70"/>
      <c r="C154" s="70"/>
      <c r="D154" s="70"/>
      <c r="E154" s="7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70"/>
      <c r="C155" s="70"/>
      <c r="D155" s="70"/>
      <c r="E155" s="7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70"/>
      <c r="C156" s="70"/>
      <c r="D156" s="70"/>
      <c r="E156" s="7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70"/>
      <c r="C157" s="70"/>
      <c r="D157" s="70"/>
      <c r="E157" s="7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70"/>
      <c r="C158" s="70"/>
      <c r="D158" s="70"/>
      <c r="E158" s="7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70"/>
      <c r="C159" s="70"/>
      <c r="D159" s="70"/>
      <c r="E159" s="7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70"/>
      <c r="C160" s="70"/>
      <c r="D160" s="70"/>
      <c r="E160" s="7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70"/>
      <c r="C161" s="70"/>
      <c r="D161" s="70"/>
      <c r="E161" s="7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70"/>
      <c r="C162" s="70"/>
      <c r="D162" s="70"/>
      <c r="E162" s="7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70"/>
      <c r="C163" s="70"/>
      <c r="D163" s="70"/>
      <c r="E163" s="7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70"/>
      <c r="C164" s="70"/>
      <c r="D164" s="70"/>
      <c r="E164" s="7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70"/>
      <c r="C165" s="70"/>
      <c r="D165" s="70"/>
      <c r="E165" s="7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70"/>
      <c r="C166" s="70"/>
      <c r="D166" s="70"/>
      <c r="E166" s="7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70"/>
      <c r="C167" s="70"/>
      <c r="D167" s="70"/>
      <c r="E167" s="7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70"/>
      <c r="C168" s="70"/>
      <c r="D168" s="70"/>
      <c r="E168" s="7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70"/>
      <c r="C169" s="70"/>
      <c r="D169" s="70"/>
      <c r="E169" s="7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70"/>
      <c r="C170" s="70"/>
      <c r="D170" s="70"/>
      <c r="E170" s="7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70"/>
      <c r="C171" s="70"/>
      <c r="D171" s="70"/>
      <c r="E171" s="7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70"/>
      <c r="C172" s="70"/>
      <c r="D172" s="70"/>
      <c r="E172" s="7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70"/>
      <c r="C173" s="70"/>
      <c r="D173" s="70"/>
      <c r="E173" s="7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70"/>
      <c r="C174" s="70"/>
      <c r="D174" s="70"/>
      <c r="E174" s="7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70"/>
      <c r="C175" s="70"/>
      <c r="D175" s="70"/>
      <c r="E175" s="7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70"/>
      <c r="C176" s="70"/>
      <c r="D176" s="70"/>
      <c r="E176" s="7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70"/>
      <c r="C177" s="70"/>
      <c r="D177" s="70"/>
      <c r="E177" s="7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70"/>
      <c r="C178" s="70"/>
      <c r="D178" s="70"/>
      <c r="E178" s="7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70"/>
      <c r="C179" s="70"/>
      <c r="D179" s="70"/>
      <c r="E179" s="7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70"/>
      <c r="C180" s="70"/>
      <c r="D180" s="70"/>
      <c r="E180" s="7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70"/>
      <c r="C181" s="70"/>
      <c r="D181" s="70"/>
      <c r="E181" s="70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70"/>
      <c r="C182" s="70"/>
      <c r="D182" s="70"/>
      <c r="E182" s="70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70"/>
      <c r="C183" s="70"/>
      <c r="D183" s="70"/>
      <c r="E183" s="7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70"/>
      <c r="C184" s="70"/>
      <c r="D184" s="70"/>
      <c r="E184" s="70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70"/>
      <c r="C185" s="70"/>
      <c r="D185" s="70"/>
      <c r="E185" s="7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70"/>
      <c r="C186" s="70"/>
      <c r="D186" s="70"/>
      <c r="E186" s="70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70"/>
      <c r="C187" s="70"/>
      <c r="D187" s="70"/>
      <c r="E187" s="7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70"/>
      <c r="C188" s="70"/>
      <c r="D188" s="70"/>
      <c r="E188" s="7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70"/>
      <c r="C189" s="70"/>
      <c r="D189" s="70"/>
      <c r="E189" s="7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70"/>
      <c r="C190" s="70"/>
      <c r="D190" s="70"/>
      <c r="E190" s="7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70"/>
      <c r="C191" s="70"/>
      <c r="D191" s="70"/>
      <c r="E191" s="70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70"/>
      <c r="C192" s="70"/>
      <c r="D192" s="70"/>
      <c r="E192" s="7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70"/>
      <c r="C193" s="70"/>
      <c r="D193" s="70"/>
      <c r="E193" s="7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70"/>
      <c r="C194" s="70"/>
      <c r="D194" s="70"/>
      <c r="E194" s="7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70"/>
      <c r="C195" s="70"/>
      <c r="D195" s="70"/>
      <c r="E195" s="7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70"/>
      <c r="C196" s="70"/>
      <c r="D196" s="70"/>
      <c r="E196" s="7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70"/>
      <c r="C197" s="70"/>
      <c r="D197" s="70"/>
      <c r="E197" s="70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70"/>
      <c r="C198" s="70"/>
      <c r="D198" s="70"/>
      <c r="E198" s="7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70"/>
      <c r="C199" s="70"/>
      <c r="D199" s="70"/>
      <c r="E199" s="7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70"/>
      <c r="C200" s="70"/>
      <c r="D200" s="70"/>
      <c r="E200" s="7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70"/>
      <c r="C201" s="70"/>
      <c r="D201" s="70"/>
      <c r="E201" s="7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70"/>
      <c r="C202" s="70"/>
      <c r="D202" s="70"/>
      <c r="E202" s="7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70"/>
      <c r="C203" s="70"/>
      <c r="D203" s="70"/>
      <c r="E203" s="7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70"/>
      <c r="C204" s="70"/>
      <c r="D204" s="70"/>
      <c r="E204" s="7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70"/>
      <c r="C205" s="70"/>
      <c r="D205" s="70"/>
      <c r="E205" s="7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70"/>
      <c r="C206" s="70"/>
      <c r="D206" s="70"/>
      <c r="E206" s="7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70"/>
      <c r="C207" s="70"/>
      <c r="D207" s="70"/>
      <c r="E207" s="7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70"/>
      <c r="C208" s="70"/>
      <c r="D208" s="70"/>
      <c r="E208" s="7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70"/>
      <c r="C209" s="70"/>
      <c r="D209" s="70"/>
      <c r="E209" s="7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70"/>
      <c r="C210" s="70"/>
      <c r="D210" s="70"/>
      <c r="E210" s="7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70"/>
      <c r="C211" s="70"/>
      <c r="D211" s="70"/>
      <c r="E211" s="7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70"/>
      <c r="C212" s="70"/>
      <c r="D212" s="70"/>
      <c r="E212" s="7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70"/>
      <c r="C213" s="70"/>
      <c r="D213" s="70"/>
      <c r="E213" s="7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70"/>
      <c r="C214" s="70"/>
      <c r="D214" s="70"/>
      <c r="E214" s="7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70"/>
      <c r="C215" s="70"/>
      <c r="D215" s="70"/>
      <c r="E215" s="7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70"/>
      <c r="C216" s="70"/>
      <c r="D216" s="70"/>
      <c r="E216" s="7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70"/>
      <c r="C217" s="70"/>
      <c r="D217" s="70"/>
      <c r="E217" s="7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70"/>
      <c r="C218" s="70"/>
      <c r="D218" s="70"/>
      <c r="E218" s="7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70"/>
      <c r="C219" s="70"/>
      <c r="D219" s="70"/>
      <c r="E219" s="7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70"/>
      <c r="C220" s="70"/>
      <c r="D220" s="70"/>
      <c r="E220" s="7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70"/>
      <c r="C221" s="70"/>
      <c r="D221" s="70"/>
      <c r="E221" s="7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70"/>
      <c r="C222" s="70"/>
      <c r="D222" s="70"/>
      <c r="E222" s="7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70"/>
      <c r="C223" s="70"/>
      <c r="D223" s="70"/>
      <c r="E223" s="7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70"/>
      <c r="C224" s="70"/>
      <c r="D224" s="70"/>
      <c r="E224" s="7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70"/>
      <c r="C225" s="70"/>
      <c r="D225" s="70"/>
      <c r="E225" s="7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70"/>
      <c r="C226" s="70"/>
      <c r="D226" s="70"/>
      <c r="E226" s="7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70"/>
      <c r="C227" s="70"/>
      <c r="D227" s="70"/>
      <c r="E227" s="7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70"/>
      <c r="C228" s="70"/>
      <c r="D228" s="70"/>
      <c r="E228" s="7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70"/>
      <c r="C229" s="70"/>
      <c r="D229" s="70"/>
      <c r="E229" s="7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70"/>
      <c r="C230" s="70"/>
      <c r="D230" s="70"/>
      <c r="E230" s="7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70"/>
      <c r="C231" s="70"/>
      <c r="D231" s="70"/>
      <c r="E231" s="7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70"/>
      <c r="C232" s="70"/>
      <c r="D232" s="70"/>
      <c r="E232" s="7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7">
    <mergeCell ref="E3:E4"/>
    <mergeCell ref="E5:E11"/>
    <mergeCell ref="E12:E15"/>
    <mergeCell ref="E16:E19"/>
    <mergeCell ref="E20:E23"/>
    <mergeCell ref="E24:E26"/>
    <mergeCell ref="J26:J2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2025-10-01T19:39:08Z</dcterms:created>
  <dc:creator>Carlos Peralta Gutierrez</dc:creator>
</cp:coreProperties>
</file>
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\My Drive (carlos.peralta.gutierrez@gmail.com)\SNCC - Projects\DB-Practice Plan\"/>
    </mc:Choice>
  </mc:AlternateContent>
  <xr:revisionPtr revIDLastSave="0" documentId="13_ncr:1_{75579E10-9738-429F-A5E0-D5F95746CEF4}" xr6:coauthVersionLast="47" xr6:coauthVersionMax="47" xr10:uidLastSave="{00000000-0000-0000-0000-000000000000}"/>
  <bookViews>
    <workbookView xWindow="2240" yWindow="2240" windowWidth="31070" windowHeight="17210" xr2:uid="{00000000-000D-0000-FFFF-FFFF00000000}"/>
  </bookViews>
  <sheets>
    <sheet name="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6gXio3XJtNlw4Q0U4kKG/yTUbV4wXVrniUPtCK3ulXY="/>
    </ext>
  </extLst>
</workbook>
</file>

<file path=xl/calcChain.xml><?xml version="1.0" encoding="utf-8"?>
<calcChain xmlns="http://schemas.openxmlformats.org/spreadsheetml/2006/main">
  <c r="E64" i="1" l="1"/>
  <c r="E59" i="1"/>
  <c r="E58" i="1"/>
  <c r="E60" i="1" s="1"/>
  <c r="E54" i="1"/>
  <c r="E55" i="1" s="1"/>
  <c r="E53" i="1"/>
  <c r="E49" i="1"/>
  <c r="E48" i="1"/>
  <c r="E50" i="1" s="1"/>
  <c r="E47" i="1"/>
  <c r="E46" i="1"/>
  <c r="E42" i="1"/>
  <c r="E43" i="1" s="1"/>
  <c r="E41" i="1"/>
  <c r="E29" i="1"/>
  <c r="N24" i="1"/>
  <c r="E24" i="1"/>
  <c r="N23" i="1"/>
  <c r="E23" i="1"/>
  <c r="E25" i="1" s="1"/>
  <c r="E19" i="1"/>
  <c r="E18" i="1"/>
  <c r="E20" i="1" s="1"/>
  <c r="E15" i="1"/>
  <c r="E14" i="1"/>
  <c r="E13" i="1"/>
  <c r="E12" i="1"/>
  <c r="E11" i="1"/>
  <c r="E7" i="1"/>
  <c r="E6" i="1"/>
  <c r="E8" i="1" s="1"/>
  <c r="E5" i="1"/>
  <c r="E66" i="1" l="1"/>
  <c r="E31" i="1"/>
</calcChain>
</file>

<file path=xl/sharedStrings.xml><?xml version="1.0" encoding="utf-8"?>
<sst xmlns="http://schemas.openxmlformats.org/spreadsheetml/2006/main" count="101" uniqueCount="44">
  <si>
    <t>Practice: Endurance</t>
  </si>
  <si>
    <t>Type</t>
  </si>
  <si>
    <t>Comments</t>
  </si>
  <si>
    <t>Minutes</t>
  </si>
  <si>
    <t>Warm up</t>
  </si>
  <si>
    <t>"type": 0</t>
  </si>
  <si>
    <t>min</t>
  </si>
  <si>
    <t>G4-Warm Up</t>
  </si>
  <si>
    <t>"type": 1</t>
  </si>
  <si>
    <t>Drills</t>
  </si>
  <si>
    <t>"type": 2</t>
  </si>
  <si>
    <t>Get Ready</t>
  </si>
  <si>
    <t>Cycle 1</t>
  </si>
  <si>
    <t>sets</t>
  </si>
  <si>
    <t>6x(2'@G6/2.5'R, 4'@G5, 3'R)</t>
  </si>
  <si>
    <t>G6-1K Set x/y</t>
  </si>
  <si>
    <t>Rest</t>
  </si>
  <si>
    <t>G5-2K Set x/y</t>
  </si>
  <si>
    <t>Cycle 2</t>
  </si>
  <si>
    <t xml:space="preserve"> 200m Race</t>
  </si>
  <si>
    <t>1' @ G8-200m</t>
  </si>
  <si>
    <t>rest</t>
  </si>
  <si>
    <t>G8</t>
  </si>
  <si>
    <t>W3</t>
  </si>
  <si>
    <t>200m Race</t>
  </si>
  <si>
    <t>G5-G4-G5</t>
  </si>
  <si>
    <t>Cooldown</t>
  </si>
  <si>
    <t>Sectionals</t>
  </si>
  <si>
    <t>G4</t>
  </si>
  <si>
    <t>Practice: FullB-9minTran</t>
  </si>
  <si>
    <t>G0-Warm Up</t>
  </si>
  <si>
    <t>4'Rest</t>
  </si>
  <si>
    <t>W1</t>
  </si>
  <si>
    <t>G# -Set x - Y</t>
  </si>
  <si>
    <t>Secs</t>
  </si>
  <si>
    <t>G1 -Set x - 5</t>
  </si>
  <si>
    <t>G4 -Set x - 5</t>
  </si>
  <si>
    <t>Tran2G0 -Set x - 5</t>
  </si>
  <si>
    <t>W2</t>
  </si>
  <si>
    <t>Sets</t>
  </si>
  <si>
    <t>G#-Set X-Y</t>
  </si>
  <si>
    <t>9.5'Start/3sTranG0</t>
  </si>
  <si>
    <t>4.5'Rest</t>
  </si>
  <si>
    <t>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</si>
</sst>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/>
    <xf numFmtId="0" fontId="2" fillId="2" borderId="2" xfId="0" applyFont="1" applyFill="1" applyBorder="1"/>
    <xf numFmtId="164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wrapText="1"/>
    </xf>
    <xf numFmtId="165" fontId="2" fillId="2" borderId="2" xfId="0" applyNumberFormat="1" applyFont="1" applyFill="1" applyBorder="1"/>
    <xf numFmtId="0" fontId="2" fillId="2" borderId="3" xfId="0" applyFont="1" applyFill="1" applyBorder="1"/>
    <xf numFmtId="165" fontId="2" fillId="3" borderId="4" xfId="0" applyNumberFormat="1" applyFont="1" applyFill="1" applyBorder="1"/>
    <xf numFmtId="165" fontId="1" fillId="0" borderId="0" xfId="0" applyNumberFormat="1" applyFont="1"/>
    <xf numFmtId="0" fontId="2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showGridLines="0" tabSelected="1" workbookViewId="0">
      <selection activeCell="D35" sqref="D35"/>
    </sheetView>
  </sheetViews>
  <sheetFormatPr defaultColWidth="14.453125" defaultRowHeight="15" customHeight="1" x14ac:dyDescent="0.35"/>
  <cols>
    <col min="1" max="1" width="12.54296875" customWidth="1"/>
    <col min="2" max="2" width="8.7265625" customWidth="1"/>
    <col min="3" max="3" width="12.54296875" customWidth="1"/>
    <col min="4" max="4" width="20.81640625" customWidth="1"/>
    <col min="5" max="8" width="8.7265625" customWidth="1"/>
    <col min="9" max="9" width="7" customWidth="1"/>
    <col min="10" max="26" width="8.7265625" customWidth="1"/>
  </cols>
  <sheetData>
    <row r="1" spans="1:9" ht="14.25" customHeight="1" x14ac:dyDescent="0.35"/>
    <row r="2" spans="1:9" ht="14.25" customHeight="1" x14ac:dyDescent="0.35">
      <c r="A2" s="1" t="s">
        <v>0</v>
      </c>
    </row>
    <row r="3" spans="1:9" ht="14.25" customHeight="1" x14ac:dyDescent="0.35">
      <c r="A3" s="2" t="s">
        <v>1</v>
      </c>
      <c r="D3" s="2" t="s">
        <v>2</v>
      </c>
      <c r="E3" s="2" t="s">
        <v>3</v>
      </c>
    </row>
    <row r="4" spans="1:9" ht="14.25" customHeight="1" x14ac:dyDescent="0.35">
      <c r="A4" s="3" t="s">
        <v>4</v>
      </c>
      <c r="B4" s="2">
        <v>1</v>
      </c>
    </row>
    <row r="5" spans="1:9" ht="14.25" customHeight="1" x14ac:dyDescent="0.35">
      <c r="A5" s="2" t="s">
        <v>5</v>
      </c>
      <c r="B5" s="1">
        <v>5</v>
      </c>
      <c r="C5" s="2" t="s">
        <v>6</v>
      </c>
      <c r="D5" s="1" t="s">
        <v>7</v>
      </c>
      <c r="E5" s="2">
        <f>B5</f>
        <v>5</v>
      </c>
    </row>
    <row r="6" spans="1:9" ht="14.25" customHeight="1" x14ac:dyDescent="0.35">
      <c r="A6" s="2" t="s">
        <v>8</v>
      </c>
      <c r="B6" s="1">
        <v>4</v>
      </c>
      <c r="C6" s="2" t="s">
        <v>6</v>
      </c>
      <c r="D6" s="2" t="s">
        <v>9</v>
      </c>
      <c r="E6" s="2">
        <f t="shared" ref="E6:E7" si="0">+B6</f>
        <v>4</v>
      </c>
      <c r="H6" s="2"/>
      <c r="I6" s="2"/>
    </row>
    <row r="7" spans="1:9" ht="14.25" customHeight="1" x14ac:dyDescent="0.35">
      <c r="A7" s="4" t="s">
        <v>10</v>
      </c>
      <c r="B7" s="5">
        <v>2</v>
      </c>
      <c r="C7" s="4" t="s">
        <v>6</v>
      </c>
      <c r="D7" s="4" t="s">
        <v>11</v>
      </c>
      <c r="E7" s="4">
        <f t="shared" si="0"/>
        <v>2</v>
      </c>
      <c r="H7" s="2"/>
      <c r="I7" s="2"/>
    </row>
    <row r="8" spans="1:9" ht="14.25" customHeight="1" x14ac:dyDescent="0.35">
      <c r="E8" s="6">
        <f>+E6+E5+E7</f>
        <v>11</v>
      </c>
      <c r="H8" s="2"/>
      <c r="I8" s="7"/>
    </row>
    <row r="9" spans="1:9" ht="14.25" customHeight="1" x14ac:dyDescent="0.35"/>
    <row r="10" spans="1:9" ht="14.25" customHeight="1" x14ac:dyDescent="0.35">
      <c r="A10" s="3" t="s">
        <v>12</v>
      </c>
      <c r="B10" s="1">
        <v>6</v>
      </c>
      <c r="C10" s="2" t="s">
        <v>13</v>
      </c>
      <c r="D10" s="1" t="s">
        <v>14</v>
      </c>
    </row>
    <row r="11" spans="1:9" ht="14.25" customHeight="1" x14ac:dyDescent="0.35">
      <c r="A11" s="2" t="s">
        <v>8</v>
      </c>
      <c r="B11" s="1">
        <v>2</v>
      </c>
      <c r="C11" s="2" t="s">
        <v>6</v>
      </c>
      <c r="D11" s="1" t="s">
        <v>15</v>
      </c>
      <c r="E11" s="2">
        <f t="shared" ref="E11:E14" si="1">+B11*$B$10</f>
        <v>12</v>
      </c>
      <c r="H11" s="8"/>
    </row>
    <row r="12" spans="1:9" ht="14.25" customHeight="1" x14ac:dyDescent="0.35">
      <c r="A12" s="2" t="s">
        <v>10</v>
      </c>
      <c r="B12" s="1">
        <v>2.5</v>
      </c>
      <c r="C12" s="2" t="s">
        <v>6</v>
      </c>
      <c r="D12" s="2" t="s">
        <v>16</v>
      </c>
      <c r="E12" s="2">
        <f t="shared" si="1"/>
        <v>15</v>
      </c>
    </row>
    <row r="13" spans="1:9" ht="14.25" customHeight="1" x14ac:dyDescent="0.35">
      <c r="A13" s="2" t="s">
        <v>8</v>
      </c>
      <c r="B13" s="1">
        <v>4</v>
      </c>
      <c r="C13" s="2" t="s">
        <v>6</v>
      </c>
      <c r="D13" s="1" t="s">
        <v>17</v>
      </c>
      <c r="E13" s="2">
        <f t="shared" si="1"/>
        <v>24</v>
      </c>
    </row>
    <row r="14" spans="1:9" ht="14.25" customHeight="1" x14ac:dyDescent="0.35">
      <c r="A14" s="4" t="s">
        <v>10</v>
      </c>
      <c r="B14" s="5">
        <v>3</v>
      </c>
      <c r="C14" s="4" t="s">
        <v>6</v>
      </c>
      <c r="D14" s="4" t="s">
        <v>16</v>
      </c>
      <c r="E14" s="4">
        <f t="shared" si="1"/>
        <v>18</v>
      </c>
      <c r="H14" s="9"/>
    </row>
    <row r="15" spans="1:9" ht="14.25" customHeight="1" x14ac:dyDescent="0.35">
      <c r="E15" s="10">
        <f>+SUM(E11:E14)</f>
        <v>69</v>
      </c>
    </row>
    <row r="16" spans="1:9" ht="14.25" customHeight="1" x14ac:dyDescent="0.35"/>
    <row r="17" spans="1:14" ht="14.25" customHeight="1" x14ac:dyDescent="0.35">
      <c r="A17" s="3" t="s">
        <v>18</v>
      </c>
      <c r="B17" s="1">
        <v>1</v>
      </c>
      <c r="C17" s="2" t="s">
        <v>19</v>
      </c>
      <c r="D17" s="2" t="s">
        <v>20</v>
      </c>
    </row>
    <row r="18" spans="1:14" ht="14.25" customHeight="1" x14ac:dyDescent="0.35">
      <c r="A18" s="2" t="s">
        <v>10</v>
      </c>
      <c r="B18" s="1">
        <v>2</v>
      </c>
      <c r="C18" s="2" t="s">
        <v>6</v>
      </c>
      <c r="D18" s="2" t="s">
        <v>21</v>
      </c>
      <c r="E18" s="2">
        <f t="shared" ref="E18:E19" si="2">+B18*$B$17</f>
        <v>2</v>
      </c>
    </row>
    <row r="19" spans="1:14" ht="14.25" customHeight="1" x14ac:dyDescent="0.35">
      <c r="A19" s="4" t="s">
        <v>8</v>
      </c>
      <c r="B19" s="4">
        <v>1</v>
      </c>
      <c r="C19" s="4" t="s">
        <v>6</v>
      </c>
      <c r="D19" s="4" t="s">
        <v>22</v>
      </c>
      <c r="E19" s="2">
        <f t="shared" si="2"/>
        <v>1</v>
      </c>
    </row>
    <row r="20" spans="1:14" ht="14.25" customHeight="1" x14ac:dyDescent="0.35">
      <c r="E20" s="6">
        <f>+E19+E18</f>
        <v>3</v>
      </c>
    </row>
    <row r="21" spans="1:14" ht="14.25" hidden="1" customHeight="1" x14ac:dyDescent="0.35"/>
    <row r="22" spans="1:14" ht="14.25" hidden="1" customHeight="1" x14ac:dyDescent="0.35">
      <c r="A22" s="3" t="s">
        <v>23</v>
      </c>
      <c r="B22" s="2">
        <v>0</v>
      </c>
      <c r="C22" s="2" t="s">
        <v>24</v>
      </c>
      <c r="D22" s="2" t="s">
        <v>24</v>
      </c>
    </row>
    <row r="23" spans="1:14" ht="14.25" hidden="1" customHeight="1" x14ac:dyDescent="0.35">
      <c r="A23" s="2" t="s">
        <v>8</v>
      </c>
      <c r="B23" s="2">
        <v>1</v>
      </c>
      <c r="C23" s="2" t="s">
        <v>6</v>
      </c>
      <c r="D23" s="2" t="s">
        <v>25</v>
      </c>
      <c r="E23" s="2">
        <f t="shared" ref="E23:E24" si="3">+B23*$B$22</f>
        <v>0</v>
      </c>
      <c r="N23" s="2">
        <f>7.5*0.75</f>
        <v>5.625</v>
      </c>
    </row>
    <row r="24" spans="1:14" ht="14.25" hidden="1" customHeight="1" x14ac:dyDescent="0.35">
      <c r="A24" s="4" t="s">
        <v>10</v>
      </c>
      <c r="B24" s="4">
        <v>4</v>
      </c>
      <c r="C24" s="4" t="s">
        <v>6</v>
      </c>
      <c r="D24" s="4" t="s">
        <v>21</v>
      </c>
      <c r="E24" s="4">
        <f t="shared" si="3"/>
        <v>0</v>
      </c>
      <c r="N24" s="2">
        <f>1.5*3</f>
        <v>4.5</v>
      </c>
    </row>
    <row r="25" spans="1:14" ht="14.25" hidden="1" customHeight="1" x14ac:dyDescent="0.35">
      <c r="E25" s="6">
        <f>+E23+E24</f>
        <v>0</v>
      </c>
    </row>
    <row r="26" spans="1:14" ht="14.25" customHeight="1" x14ac:dyDescent="0.35">
      <c r="H26" s="8"/>
    </row>
    <row r="27" spans="1:14" ht="14.25" customHeight="1" x14ac:dyDescent="0.35">
      <c r="H27" s="8"/>
    </row>
    <row r="28" spans="1:14" ht="14.25" customHeight="1" x14ac:dyDescent="0.35">
      <c r="A28" s="3" t="s">
        <v>26</v>
      </c>
      <c r="B28" s="2">
        <v>1</v>
      </c>
      <c r="C28" s="2"/>
      <c r="D28" s="2" t="s">
        <v>27</v>
      </c>
      <c r="E28" s="2"/>
    </row>
    <row r="29" spans="1:14" ht="14.25" customHeight="1" x14ac:dyDescent="0.35">
      <c r="A29" s="4" t="s">
        <v>5</v>
      </c>
      <c r="B29" s="5">
        <v>3</v>
      </c>
      <c r="C29" s="4" t="s">
        <v>6</v>
      </c>
      <c r="D29" s="5" t="s">
        <v>28</v>
      </c>
      <c r="E29" s="11">
        <f>+B29*B28</f>
        <v>3</v>
      </c>
    </row>
    <row r="30" spans="1:14" ht="14.25" customHeight="1" x14ac:dyDescent="0.35"/>
    <row r="31" spans="1:14" ht="14.25" customHeight="1" x14ac:dyDescent="0.35">
      <c r="E31" s="12">
        <f>+E29+E25+E20+E15+E8</f>
        <v>86</v>
      </c>
    </row>
    <row r="32" spans="1:14" ht="14.25" customHeight="1" x14ac:dyDescent="0.35"/>
    <row r="33" spans="1:5" ht="14.25" customHeight="1" x14ac:dyDescent="0.35"/>
    <row r="34" spans="1:5" ht="14.25" customHeight="1" x14ac:dyDescent="0.35"/>
    <row r="35" spans="1:5" ht="14.25" customHeight="1" x14ac:dyDescent="0.35"/>
    <row r="36" spans="1:5" ht="14.25" hidden="1" customHeight="1" x14ac:dyDescent="0.35"/>
    <row r="37" spans="1:5" ht="14.25" hidden="1" customHeight="1" x14ac:dyDescent="0.35"/>
    <row r="38" spans="1:5" ht="14.25" hidden="1" customHeight="1" x14ac:dyDescent="0.35">
      <c r="A38" s="2" t="s">
        <v>29</v>
      </c>
    </row>
    <row r="39" spans="1:5" ht="14.25" hidden="1" customHeight="1" x14ac:dyDescent="0.35">
      <c r="A39" s="2" t="s">
        <v>1</v>
      </c>
      <c r="D39" s="2" t="s">
        <v>2</v>
      </c>
      <c r="E39" s="2" t="s">
        <v>3</v>
      </c>
    </row>
    <row r="40" spans="1:5" ht="14.25" hidden="1" customHeight="1" x14ac:dyDescent="0.35">
      <c r="A40" s="3" t="s">
        <v>4</v>
      </c>
      <c r="B40" s="2">
        <v>1</v>
      </c>
    </row>
    <row r="41" spans="1:5" ht="14.25" hidden="1" customHeight="1" x14ac:dyDescent="0.35">
      <c r="A41" s="2" t="s">
        <v>5</v>
      </c>
      <c r="B41" s="2">
        <v>6</v>
      </c>
      <c r="C41" s="2" t="s">
        <v>6</v>
      </c>
      <c r="D41" s="2" t="s">
        <v>30</v>
      </c>
      <c r="E41" s="2">
        <f>B41</f>
        <v>6</v>
      </c>
    </row>
    <row r="42" spans="1:5" ht="14.25" hidden="1" customHeight="1" x14ac:dyDescent="0.35">
      <c r="A42" s="4" t="s">
        <v>10</v>
      </c>
      <c r="B42" s="4">
        <v>4</v>
      </c>
      <c r="C42" s="4" t="s">
        <v>6</v>
      </c>
      <c r="D42" s="4" t="s">
        <v>31</v>
      </c>
      <c r="E42" s="4">
        <f>+B42</f>
        <v>4</v>
      </c>
    </row>
    <row r="43" spans="1:5" ht="14.25" hidden="1" customHeight="1" x14ac:dyDescent="0.35">
      <c r="E43" s="6">
        <f>+E42+E41</f>
        <v>10</v>
      </c>
    </row>
    <row r="44" spans="1:5" ht="14.25" hidden="1" customHeight="1" x14ac:dyDescent="0.35"/>
    <row r="45" spans="1:5" ht="14.25" hidden="1" customHeight="1" x14ac:dyDescent="0.35">
      <c r="A45" s="3" t="s">
        <v>32</v>
      </c>
      <c r="B45" s="2">
        <v>5</v>
      </c>
      <c r="C45" s="2" t="s">
        <v>13</v>
      </c>
      <c r="D45" s="2" t="s">
        <v>33</v>
      </c>
    </row>
    <row r="46" spans="1:5" ht="14.25" hidden="1" customHeight="1" x14ac:dyDescent="0.35">
      <c r="A46" s="2" t="s">
        <v>8</v>
      </c>
      <c r="B46" s="2">
        <v>20</v>
      </c>
      <c r="C46" s="2" t="s">
        <v>34</v>
      </c>
      <c r="D46" s="2" t="s">
        <v>35</v>
      </c>
      <c r="E46" s="13">
        <f>B46*(0.015)*B45</f>
        <v>1.5</v>
      </c>
    </row>
    <row r="47" spans="1:5" ht="14.25" hidden="1" customHeight="1" x14ac:dyDescent="0.35">
      <c r="A47" s="2" t="s">
        <v>8</v>
      </c>
      <c r="B47" s="2">
        <v>30</v>
      </c>
      <c r="C47" s="2" t="s">
        <v>34</v>
      </c>
      <c r="D47" s="2" t="s">
        <v>36</v>
      </c>
      <c r="E47" s="13">
        <f>B47*(0.01666666)*B45</f>
        <v>2.4999989999999999</v>
      </c>
    </row>
    <row r="48" spans="1:5" ht="14.25" hidden="1" customHeight="1" x14ac:dyDescent="0.35">
      <c r="A48" s="2" t="s">
        <v>8</v>
      </c>
      <c r="B48" s="2">
        <v>8.5</v>
      </c>
      <c r="C48" s="2" t="s">
        <v>6</v>
      </c>
      <c r="D48" s="2" t="s">
        <v>37</v>
      </c>
      <c r="E48" s="2">
        <f t="shared" ref="E48:E49" si="4">+B48*$B$10</f>
        <v>51</v>
      </c>
    </row>
    <row r="49" spans="1:5" ht="14.25" hidden="1" customHeight="1" x14ac:dyDescent="0.35">
      <c r="A49" s="4" t="s">
        <v>10</v>
      </c>
      <c r="B49" s="4">
        <v>4.5</v>
      </c>
      <c r="C49" s="4" t="s">
        <v>6</v>
      </c>
      <c r="D49" s="4" t="s">
        <v>16</v>
      </c>
      <c r="E49" s="4">
        <f t="shared" si="4"/>
        <v>27</v>
      </c>
    </row>
    <row r="50" spans="1:5" ht="14.25" hidden="1" customHeight="1" x14ac:dyDescent="0.35">
      <c r="E50" s="10">
        <f>+SUM(E46:E49)</f>
        <v>81.999999000000003</v>
      </c>
    </row>
    <row r="51" spans="1:5" ht="14.25" hidden="1" customHeight="1" x14ac:dyDescent="0.35"/>
    <row r="52" spans="1:5" ht="14.25" hidden="1" customHeight="1" x14ac:dyDescent="0.35">
      <c r="A52" s="3" t="s">
        <v>38</v>
      </c>
      <c r="B52" s="2">
        <v>5</v>
      </c>
      <c r="C52" s="2" t="s">
        <v>39</v>
      </c>
      <c r="D52" s="2" t="s">
        <v>40</v>
      </c>
    </row>
    <row r="53" spans="1:5" ht="14.25" hidden="1" customHeight="1" x14ac:dyDescent="0.35">
      <c r="A53" s="2" t="s">
        <v>8</v>
      </c>
      <c r="B53" s="2">
        <v>9.5</v>
      </c>
      <c r="C53" s="2" t="s">
        <v>6</v>
      </c>
      <c r="D53" s="2" t="s">
        <v>41</v>
      </c>
      <c r="E53" s="2">
        <f t="shared" ref="E53:E54" si="5">+B53*$B$52</f>
        <v>47.5</v>
      </c>
    </row>
    <row r="54" spans="1:5" ht="14.25" hidden="1" customHeight="1" x14ac:dyDescent="0.35">
      <c r="A54" s="4" t="s">
        <v>10</v>
      </c>
      <c r="B54" s="4">
        <v>4.5</v>
      </c>
      <c r="C54" s="4" t="s">
        <v>6</v>
      </c>
      <c r="D54" s="4" t="s">
        <v>42</v>
      </c>
      <c r="E54" s="2">
        <f t="shared" si="5"/>
        <v>22.5</v>
      </c>
    </row>
    <row r="55" spans="1:5" ht="14.25" hidden="1" customHeight="1" x14ac:dyDescent="0.35">
      <c r="E55" s="6">
        <f>+E54+E53</f>
        <v>70</v>
      </c>
    </row>
    <row r="56" spans="1:5" ht="14.25" hidden="1" customHeight="1" x14ac:dyDescent="0.35"/>
    <row r="57" spans="1:5" ht="14.25" hidden="1" customHeight="1" x14ac:dyDescent="0.35">
      <c r="A57" s="3" t="s">
        <v>23</v>
      </c>
      <c r="B57" s="2">
        <v>0</v>
      </c>
      <c r="C57" s="2" t="s">
        <v>24</v>
      </c>
      <c r="D57" s="2" t="s">
        <v>24</v>
      </c>
    </row>
    <row r="58" spans="1:5" ht="14.25" hidden="1" customHeight="1" x14ac:dyDescent="0.35">
      <c r="A58" s="2" t="s">
        <v>8</v>
      </c>
      <c r="B58" s="2">
        <v>1</v>
      </c>
      <c r="C58" s="2" t="s">
        <v>6</v>
      </c>
      <c r="D58" s="2" t="s">
        <v>25</v>
      </c>
      <c r="E58" s="2">
        <f t="shared" ref="E58:E59" si="6">+B58*$B$22</f>
        <v>0</v>
      </c>
    </row>
    <row r="59" spans="1:5" ht="14.25" hidden="1" customHeight="1" x14ac:dyDescent="0.35">
      <c r="A59" s="4" t="s">
        <v>10</v>
      </c>
      <c r="B59" s="4">
        <v>4</v>
      </c>
      <c r="C59" s="4" t="s">
        <v>6</v>
      </c>
      <c r="D59" s="4" t="s">
        <v>21</v>
      </c>
      <c r="E59" s="4">
        <f t="shared" si="6"/>
        <v>0</v>
      </c>
    </row>
    <row r="60" spans="1:5" ht="14.25" hidden="1" customHeight="1" x14ac:dyDescent="0.35">
      <c r="E60" s="6">
        <f>+E58+E59</f>
        <v>0</v>
      </c>
    </row>
    <row r="61" spans="1:5" ht="14.25" hidden="1" customHeight="1" x14ac:dyDescent="0.35"/>
    <row r="62" spans="1:5" ht="14.25" hidden="1" customHeight="1" x14ac:dyDescent="0.35"/>
    <row r="63" spans="1:5" ht="14.25" hidden="1" customHeight="1" x14ac:dyDescent="0.35">
      <c r="A63" s="3" t="s">
        <v>26</v>
      </c>
      <c r="B63" s="2">
        <v>1</v>
      </c>
      <c r="C63" s="2"/>
      <c r="D63" s="2" t="s">
        <v>27</v>
      </c>
      <c r="E63" s="2"/>
    </row>
    <row r="64" spans="1:5" ht="14.25" hidden="1" customHeight="1" x14ac:dyDescent="0.35">
      <c r="A64" s="4" t="s">
        <v>5</v>
      </c>
      <c r="B64" s="4">
        <v>6</v>
      </c>
      <c r="C64" s="4" t="s">
        <v>6</v>
      </c>
      <c r="D64" s="4" t="s">
        <v>43</v>
      </c>
      <c r="E64" s="11">
        <f>+B64*B63</f>
        <v>6</v>
      </c>
    </row>
    <row r="65" spans="5:5" ht="14.25" hidden="1" customHeight="1" x14ac:dyDescent="0.35"/>
    <row r="66" spans="5:5" ht="14.25" hidden="1" customHeight="1" x14ac:dyDescent="0.35">
      <c r="E66" s="14">
        <f>E64+E55+E43</f>
        <v>86</v>
      </c>
    </row>
    <row r="67" spans="5:5" ht="14.25" hidden="1" customHeight="1" x14ac:dyDescent="0.35"/>
    <row r="68" spans="5:5" ht="14.25" customHeight="1" x14ac:dyDescent="0.35"/>
    <row r="69" spans="5:5" ht="14.25" customHeight="1" x14ac:dyDescent="0.35"/>
    <row r="70" spans="5:5" ht="14.25" customHeight="1" x14ac:dyDescent="0.35"/>
    <row r="71" spans="5:5" ht="14.25" customHeight="1" x14ac:dyDescent="0.35"/>
    <row r="72" spans="5:5" ht="14.25" customHeight="1" x14ac:dyDescent="0.35"/>
    <row r="73" spans="5:5" ht="14.25" customHeight="1" x14ac:dyDescent="0.35"/>
    <row r="74" spans="5:5" ht="14.25" customHeight="1" x14ac:dyDescent="0.35"/>
    <row r="75" spans="5:5" ht="14.25" customHeight="1" x14ac:dyDescent="0.35"/>
    <row r="76" spans="5:5" ht="14.25" customHeight="1" x14ac:dyDescent="0.35"/>
    <row r="77" spans="5:5" ht="14.25" customHeight="1" x14ac:dyDescent="0.35"/>
    <row r="78" spans="5:5" ht="14.25" customHeight="1" x14ac:dyDescent="0.35"/>
    <row r="79" spans="5:5" ht="14.25" customHeight="1" x14ac:dyDescent="0.35"/>
    <row r="80" spans="5:5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Peralta Gutierrez</dc:creator>
  <cp:lastModifiedBy>Carlos Peralta Gutierrez</cp:lastModifiedBy>
  <dcterms:created xsi:type="dcterms:W3CDTF">2025-10-01T19:39:08Z</dcterms:created>
  <dcterms:modified xsi:type="dcterms:W3CDTF">2026-07-10T09:48:31Z</dcterms:modified>
</cp:coreProperties>
</file>